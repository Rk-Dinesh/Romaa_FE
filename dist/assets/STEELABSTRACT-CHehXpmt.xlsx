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chi/Romaa/ExcelTemp/Billing/"/>
    </mc:Choice>
  </mc:AlternateContent>
  <xr:revisionPtr revIDLastSave="0" documentId="13_ncr:1_{6D939F17-BBEC-544C-A36A-E2B48D51809E}" xr6:coauthVersionLast="47" xr6:coauthVersionMax="47" xr10:uidLastSave="{00000000-0000-0000-0000-000000000000}"/>
  <bookViews>
    <workbookView xWindow="0" yWindow="0" windowWidth="28800" windowHeight="18000" xr2:uid="{1E8D9059-7720-A349-80DF-50F921C3A46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7" i="1" l="1"/>
  <c r="H67" i="1" s="1"/>
  <c r="H40" i="1" s="1"/>
  <c r="J66" i="1"/>
  <c r="G65" i="1"/>
  <c r="J65" i="1" s="1"/>
  <c r="K64" i="1"/>
  <c r="G63" i="1"/>
  <c r="K63" i="1" s="1"/>
  <c r="G60" i="1"/>
  <c r="H60" i="1" s="1"/>
  <c r="G59" i="1"/>
  <c r="J59" i="1" s="1"/>
  <c r="G58" i="1"/>
  <c r="J58" i="1" s="1"/>
  <c r="G57" i="1"/>
  <c r="K57" i="1" s="1"/>
  <c r="G56" i="1"/>
  <c r="K56" i="1" s="1"/>
  <c r="G55" i="1"/>
  <c r="L55" i="1" s="1"/>
  <c r="G54" i="1"/>
  <c r="L54" i="1" s="1"/>
  <c r="G53" i="1"/>
  <c r="M53" i="1" s="1"/>
  <c r="G50" i="1"/>
  <c r="H50" i="1" s="1"/>
  <c r="J49" i="1"/>
  <c r="G48" i="1"/>
  <c r="J48" i="1" s="1"/>
  <c r="J40" i="1" s="1"/>
  <c r="K47" i="1"/>
  <c r="G46" i="1"/>
  <c r="K46" i="1" s="1"/>
  <c r="K40" i="1" s="1"/>
  <c r="L45" i="1"/>
  <c r="G44" i="1"/>
  <c r="L44" i="1" s="1"/>
  <c r="L40" i="1" s="1"/>
  <c r="G43" i="1"/>
  <c r="M43" i="1" s="1"/>
  <c r="M40" i="1" s="1"/>
  <c r="G38" i="1"/>
  <c r="H38" i="1" s="1"/>
  <c r="G37" i="1"/>
  <c r="J37" i="1" s="1"/>
  <c r="G34" i="1"/>
  <c r="E34" i="1"/>
  <c r="G33" i="1"/>
  <c r="H33" i="1" s="1"/>
  <c r="G32" i="1"/>
  <c r="J32" i="1" s="1"/>
  <c r="G31" i="1"/>
  <c r="K31" i="1" s="1"/>
  <c r="G28" i="1"/>
  <c r="H28" i="1" s="1"/>
  <c r="G27" i="1"/>
  <c r="H27" i="1" s="1"/>
  <c r="G26" i="1"/>
  <c r="J26" i="1" s="1"/>
  <c r="G25" i="1"/>
  <c r="K25" i="1" s="1"/>
  <c r="G22" i="1"/>
  <c r="E22" i="1"/>
  <c r="H22" i="1" s="1"/>
  <c r="G21" i="1"/>
  <c r="H21" i="1" s="1"/>
  <c r="G20" i="1"/>
  <c r="J20" i="1" s="1"/>
  <c r="J17" i="1" s="1"/>
  <c r="G19" i="1"/>
  <c r="K19" i="1" s="1"/>
  <c r="G15" i="1"/>
  <c r="E15" i="1"/>
  <c r="G14" i="1"/>
  <c r="E14" i="1"/>
  <c r="G12" i="1"/>
  <c r="E12" i="1"/>
  <c r="G11" i="1"/>
  <c r="E11" i="1"/>
  <c r="G9" i="1"/>
  <c r="E9" i="1"/>
  <c r="G8" i="1"/>
  <c r="E8" i="1"/>
  <c r="G6" i="1"/>
  <c r="E6" i="1"/>
  <c r="I6" i="1" s="1"/>
  <c r="G5" i="1"/>
  <c r="E5" i="1"/>
  <c r="O40" i="1" l="1"/>
  <c r="P40" i="1" s="1"/>
  <c r="K17" i="1"/>
  <c r="H34" i="1"/>
  <c r="H17" i="1" s="1"/>
  <c r="O17" i="1" s="1"/>
  <c r="P17" i="1" s="1"/>
  <c r="J5" i="1"/>
  <c r="J11" i="1"/>
  <c r="I9" i="1"/>
  <c r="I15" i="1"/>
  <c r="I12" i="1"/>
  <c r="J8" i="1"/>
  <c r="J14" i="1"/>
  <c r="I3" i="1" l="1"/>
  <c r="J3" i="1"/>
  <c r="O3" i="1" s="1"/>
  <c r="P3" i="1" s="1"/>
</calcChain>
</file>

<file path=xl/sharedStrings.xml><?xml version="1.0" encoding="utf-8"?>
<sst xmlns="http://schemas.openxmlformats.org/spreadsheetml/2006/main" count="131" uniqueCount="44">
  <si>
    <t>Total Weight</t>
  </si>
  <si>
    <t>C1</t>
  </si>
  <si>
    <t>X</t>
  </si>
  <si>
    <t>C2</t>
  </si>
  <si>
    <t>C3</t>
  </si>
  <si>
    <t>C4</t>
  </si>
  <si>
    <t>Column (up to parapet wall)</t>
  </si>
  <si>
    <t>#16mm main bar</t>
  </si>
  <si>
    <t>#12mm main bar</t>
  </si>
  <si>
    <t>#8mm stirupps</t>
  </si>
  <si>
    <t>#12mm stirupps</t>
  </si>
  <si>
    <t>GRADE BEAM</t>
  </si>
  <si>
    <t>GB S1</t>
  </si>
  <si>
    <t>#25mm main bar</t>
  </si>
  <si>
    <t>#20mm main bar</t>
  </si>
  <si>
    <t>#8mm distribution bar</t>
  </si>
  <si>
    <t>GB 01</t>
  </si>
  <si>
    <t>#8mm main bar</t>
  </si>
  <si>
    <t>GB S2</t>
  </si>
  <si>
    <t>CODE</t>
  </si>
  <si>
    <t>Nos1</t>
  </si>
  <si>
    <t>Nos2</t>
  </si>
  <si>
    <t>CUTTING LENGTH</t>
  </si>
  <si>
    <t>UNIT WEIGHT</t>
  </si>
  <si>
    <t>DESCRIPTION</t>
  </si>
  <si>
    <t>Footing mat</t>
  </si>
  <si>
    <t>DAY-3</t>
  </si>
  <si>
    <t>A</t>
  </si>
  <si>
    <t>#12mm (Top rod)</t>
  </si>
  <si>
    <t>#10mm (Bottom rod)</t>
  </si>
  <si>
    <t>ID014</t>
  </si>
  <si>
    <t>ID015</t>
  </si>
  <si>
    <t>ID016</t>
  </si>
  <si>
    <t>B</t>
  </si>
  <si>
    <t>C</t>
  </si>
  <si>
    <t>D</t>
  </si>
  <si>
    <t>Qtl</t>
  </si>
  <si>
    <t>8mm</t>
  </si>
  <si>
    <t>10mm</t>
  </si>
  <si>
    <t>12mm</t>
  </si>
  <si>
    <t>16mm</t>
  </si>
  <si>
    <t>20mm</t>
  </si>
  <si>
    <t>25mm</t>
  </si>
  <si>
    <t>32mm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</si>
</sst>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DAY - &quot;\ 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Cambria"/>
      <family val="1"/>
    </font>
    <font>
      <b/>
      <sz val="12"/>
      <color rgb="FFC00000"/>
      <name val="Cambria"/>
      <family val="1"/>
    </font>
    <font>
      <sz val="12"/>
      <color theme="1"/>
      <name val="Cambria"/>
      <family val="1"/>
    </font>
    <font>
      <b/>
      <sz val="12"/>
      <color rgb="FFC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 wrapText="1"/>
    </xf>
    <xf numFmtId="43" fontId="3" fillId="3" borderId="2" xfId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left" vertical="center"/>
    </xf>
    <xf numFmtId="164" fontId="4" fillId="0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Font="1"/>
    <xf numFmtId="0" fontId="5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43" fontId="3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wrapText="1"/>
    </xf>
    <xf numFmtId="43" fontId="5" fillId="0" borderId="1" xfId="1" applyFont="1" applyBorder="1" applyAlignment="1">
      <alignment horizontal="center" vertical="center"/>
    </xf>
    <xf numFmtId="43" fontId="5" fillId="0" borderId="1" xfId="1" applyFont="1" applyBorder="1" applyAlignment="1">
      <alignment horizontal="center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43" fontId="4" fillId="0" borderId="1" xfId="0" applyNumberFormat="1" applyFont="1" applyFill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/>
    </xf>
    <xf numFmtId="0" fontId="5" fillId="4" borderId="1" xfId="0" applyFont="1" applyFill="1" applyBorder="1"/>
    <xf numFmtId="0" fontId="3" fillId="0" borderId="1" xfId="0" applyFont="1" applyBorder="1"/>
    <xf numFmtId="0" fontId="5" fillId="0" borderId="1" xfId="0" applyFont="1" applyBorder="1"/>
    <xf numFmtId="0" fontId="5" fillId="0" borderId="0" xfId="0" applyFont="1"/>
    <xf numFmtId="43" fontId="4" fillId="2" borderId="1" xfId="0" applyNumberFormat="1" applyFont="1" applyFill="1" applyBorder="1"/>
    <xf numFmtId="0" fontId="4" fillId="0" borderId="1" xfId="0" applyFont="1" applyFill="1" applyBorder="1" applyAlignment="1">
      <alignment horizontal="center"/>
    </xf>
    <xf numFmtId="0" fontId="6" fillId="0" borderId="0" xfId="0" applyFont="1"/>
    <xf numFmtId="0" fontId="4" fillId="0" borderId="1" xfId="0" applyFont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2C30-B722-274C-826F-602363B16CF2}">
  <dimension ref="A1:P67"/>
  <sheetViews>
    <sheetView tabSelected="1" workbookViewId="0">
      <selection activeCell="O1" sqref="O1"/>
    </sheetView>
  </sheetViews>
  <sheetFormatPr baseColWidth="10" defaultRowHeight="16" x14ac:dyDescent="0.2"/>
  <cols>
    <col min="1" max="1" width="10.83203125" style="28"/>
    <col min="2" max="2" width="34.83203125" style="29" customWidth="1"/>
    <col min="3" max="5" width="10.83203125" style="28"/>
    <col min="6" max="6" width="23.83203125" style="28" customWidth="1"/>
    <col min="7" max="7" width="19.33203125" style="28" customWidth="1"/>
    <col min="8" max="8" width="14" style="28" customWidth="1"/>
    <col min="9" max="9" width="10.83203125" style="28"/>
    <col min="10" max="10" width="14.33203125" style="28" customWidth="1"/>
    <col min="11" max="15" width="10.83203125" style="28"/>
    <col min="16" max="16" width="10.83203125" style="35"/>
    <col min="17" max="16384" width="10.83203125" style="12"/>
  </cols>
  <sheetData>
    <row r="1" spans="1:16" ht="20" customHeight="1" x14ac:dyDescent="0.2">
      <c r="A1" s="1" t="s">
        <v>19</v>
      </c>
      <c r="B1" s="6" t="s">
        <v>24</v>
      </c>
      <c r="C1" s="2" t="s">
        <v>20</v>
      </c>
      <c r="D1" s="2" t="s">
        <v>2</v>
      </c>
      <c r="E1" s="2" t="s">
        <v>21</v>
      </c>
      <c r="F1" s="3" t="s">
        <v>22</v>
      </c>
      <c r="G1" s="3" t="s">
        <v>23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4" t="s">
        <v>43</v>
      </c>
      <c r="O1" s="5" t="s">
        <v>0</v>
      </c>
      <c r="P1" s="2" t="s">
        <v>36</v>
      </c>
    </row>
    <row r="2" spans="1:16" ht="20" customHeight="1" x14ac:dyDescent="0.2">
      <c r="A2" s="13" t="s">
        <v>26</v>
      </c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14"/>
      <c r="P2" s="32"/>
    </row>
    <row r="3" spans="1:16" s="38" customFormat="1" ht="20" customHeight="1" x14ac:dyDescent="0.2">
      <c r="A3" s="37" t="s">
        <v>30</v>
      </c>
      <c r="B3" s="9" t="s">
        <v>25</v>
      </c>
      <c r="C3" s="10"/>
      <c r="D3" s="10"/>
      <c r="E3" s="10"/>
      <c r="F3" s="10"/>
      <c r="G3" s="10"/>
      <c r="H3" s="10"/>
      <c r="I3" s="30">
        <f>I6+I9+I12+I15</f>
        <v>553.08641975308637</v>
      </c>
      <c r="J3" s="30">
        <f>J5+J8+J11+J14</f>
        <v>796.44444444444457</v>
      </c>
      <c r="K3" s="10"/>
      <c r="L3" s="10"/>
      <c r="M3" s="10"/>
      <c r="N3" s="10"/>
      <c r="O3" s="31">
        <f>I3+J3</f>
        <v>1349.5308641975309</v>
      </c>
      <c r="P3" s="36">
        <f>O3/100</f>
        <v>13.49530864197531</v>
      </c>
    </row>
    <row r="4" spans="1:16" s="11" customFormat="1" ht="20" customHeight="1" x14ac:dyDescent="0.2">
      <c r="A4" s="16" t="s">
        <v>27</v>
      </c>
      <c r="B4" s="17" t="s">
        <v>1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9"/>
      <c r="P4" s="33"/>
    </row>
    <row r="5" spans="1:16" ht="20" customHeight="1" x14ac:dyDescent="0.2">
      <c r="A5" s="20">
        <v>1</v>
      </c>
      <c r="B5" s="21" t="s">
        <v>28</v>
      </c>
      <c r="C5" s="22">
        <v>16</v>
      </c>
      <c r="D5" s="22" t="s">
        <v>2</v>
      </c>
      <c r="E5" s="22">
        <f>10*2</f>
        <v>20</v>
      </c>
      <c r="F5" s="23">
        <v>1.6</v>
      </c>
      <c r="G5" s="22">
        <f>12*12/162</f>
        <v>0.88888888888888884</v>
      </c>
      <c r="H5" s="22"/>
      <c r="I5" s="22"/>
      <c r="J5" s="22">
        <f>C5*E5*F5*G5</f>
        <v>455.11111111111109</v>
      </c>
      <c r="K5" s="22"/>
      <c r="L5" s="22"/>
      <c r="M5" s="22"/>
      <c r="N5" s="22"/>
      <c r="O5" s="19"/>
      <c r="P5" s="34"/>
    </row>
    <row r="6" spans="1:16" ht="20" customHeight="1" x14ac:dyDescent="0.2">
      <c r="A6" s="20">
        <v>2</v>
      </c>
      <c r="B6" s="24" t="s">
        <v>29</v>
      </c>
      <c r="C6" s="22">
        <v>16</v>
      </c>
      <c r="D6" s="22" t="s">
        <v>2</v>
      </c>
      <c r="E6" s="22">
        <f>10*2</f>
        <v>20</v>
      </c>
      <c r="F6" s="22">
        <v>1.6</v>
      </c>
      <c r="G6" s="22">
        <f>10*10/162</f>
        <v>0.61728395061728392</v>
      </c>
      <c r="H6" s="22"/>
      <c r="I6" s="22">
        <f>G6*F6*E6*C6</f>
        <v>316.04938271604937</v>
      </c>
      <c r="J6" s="22"/>
      <c r="K6" s="22"/>
      <c r="L6" s="22"/>
      <c r="M6" s="22"/>
      <c r="N6" s="22"/>
      <c r="O6" s="19"/>
      <c r="P6" s="34"/>
    </row>
    <row r="7" spans="1:16" s="11" customFormat="1" ht="20" customHeight="1" x14ac:dyDescent="0.2">
      <c r="A7" s="16" t="s">
        <v>33</v>
      </c>
      <c r="B7" s="17" t="s">
        <v>3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9"/>
      <c r="P7" s="33"/>
    </row>
    <row r="8" spans="1:16" ht="20" customHeight="1" x14ac:dyDescent="0.2">
      <c r="A8" s="20">
        <v>1</v>
      </c>
      <c r="B8" s="21" t="s">
        <v>28</v>
      </c>
      <c r="C8" s="22">
        <v>4</v>
      </c>
      <c r="D8" s="22" t="s">
        <v>2</v>
      </c>
      <c r="E8" s="22">
        <f>10*2</f>
        <v>20</v>
      </c>
      <c r="F8" s="22">
        <v>1.6</v>
      </c>
      <c r="G8" s="22">
        <f>12*12/162</f>
        <v>0.88888888888888884</v>
      </c>
      <c r="H8" s="22"/>
      <c r="I8" s="22"/>
      <c r="J8" s="22">
        <f>C8*E8*F8*G8</f>
        <v>113.77777777777777</v>
      </c>
      <c r="K8" s="22"/>
      <c r="L8" s="22"/>
      <c r="M8" s="22"/>
      <c r="N8" s="22"/>
      <c r="O8" s="19"/>
      <c r="P8" s="34"/>
    </row>
    <row r="9" spans="1:16" ht="20" customHeight="1" x14ac:dyDescent="0.2">
      <c r="A9" s="20">
        <v>2</v>
      </c>
      <c r="B9" s="24" t="s">
        <v>29</v>
      </c>
      <c r="C9" s="22">
        <v>4</v>
      </c>
      <c r="D9" s="22" t="s">
        <v>2</v>
      </c>
      <c r="E9" s="22">
        <f>10*2</f>
        <v>20</v>
      </c>
      <c r="F9" s="22">
        <v>1.6</v>
      </c>
      <c r="G9" s="22">
        <f>10*10/162</f>
        <v>0.61728395061728392</v>
      </c>
      <c r="H9" s="22"/>
      <c r="I9" s="22">
        <f>G9*F9*E9*C9</f>
        <v>79.012345679012341</v>
      </c>
      <c r="J9" s="22"/>
      <c r="K9" s="22"/>
      <c r="L9" s="22"/>
      <c r="M9" s="22"/>
      <c r="N9" s="22"/>
      <c r="O9" s="19"/>
      <c r="P9" s="34"/>
    </row>
    <row r="10" spans="1:16" s="11" customFormat="1" ht="20" customHeight="1" x14ac:dyDescent="0.2">
      <c r="A10" s="16" t="s">
        <v>34</v>
      </c>
      <c r="B10" s="17" t="s">
        <v>4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9"/>
      <c r="P10" s="33"/>
    </row>
    <row r="11" spans="1:16" ht="20" customHeight="1" x14ac:dyDescent="0.2">
      <c r="A11" s="20">
        <v>1</v>
      </c>
      <c r="B11" s="21" t="s">
        <v>28</v>
      </c>
      <c r="C11" s="22">
        <v>4</v>
      </c>
      <c r="D11" s="22" t="s">
        <v>2</v>
      </c>
      <c r="E11" s="22">
        <f>10*2</f>
        <v>20</v>
      </c>
      <c r="F11" s="22">
        <v>1.6</v>
      </c>
      <c r="G11" s="22">
        <f>12*12/162</f>
        <v>0.88888888888888884</v>
      </c>
      <c r="H11" s="22"/>
      <c r="I11" s="22"/>
      <c r="J11" s="22">
        <f>C11*E11*F11*G11</f>
        <v>113.77777777777777</v>
      </c>
      <c r="K11" s="22"/>
      <c r="L11" s="22"/>
      <c r="M11" s="22"/>
      <c r="N11" s="22"/>
      <c r="O11" s="19"/>
      <c r="P11" s="34"/>
    </row>
    <row r="12" spans="1:16" ht="20" customHeight="1" x14ac:dyDescent="0.2">
      <c r="A12" s="20">
        <v>2</v>
      </c>
      <c r="B12" s="24" t="s">
        <v>29</v>
      </c>
      <c r="C12" s="22">
        <v>4</v>
      </c>
      <c r="D12" s="22" t="s">
        <v>2</v>
      </c>
      <c r="E12" s="22">
        <f>10*2</f>
        <v>20</v>
      </c>
      <c r="F12" s="22">
        <v>1.6</v>
      </c>
      <c r="G12" s="22">
        <f>10*10/162</f>
        <v>0.61728395061728392</v>
      </c>
      <c r="H12" s="22"/>
      <c r="I12" s="22">
        <f>G12*F12*E12*C12</f>
        <v>79.012345679012341</v>
      </c>
      <c r="J12" s="22"/>
      <c r="K12" s="22"/>
      <c r="L12" s="22"/>
      <c r="M12" s="22"/>
      <c r="N12" s="22"/>
      <c r="O12" s="19"/>
      <c r="P12" s="34"/>
    </row>
    <row r="13" spans="1:16" s="11" customFormat="1" ht="20" customHeight="1" x14ac:dyDescent="0.2">
      <c r="A13" s="16" t="s">
        <v>35</v>
      </c>
      <c r="B13" s="17" t="s">
        <v>5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9"/>
      <c r="P13" s="33"/>
    </row>
    <row r="14" spans="1:16" ht="20" customHeight="1" x14ac:dyDescent="0.2">
      <c r="A14" s="20">
        <v>1</v>
      </c>
      <c r="B14" s="21" t="s">
        <v>28</v>
      </c>
      <c r="C14" s="22">
        <v>4</v>
      </c>
      <c r="D14" s="22" t="s">
        <v>2</v>
      </c>
      <c r="E14" s="22">
        <f>10*2</f>
        <v>20</v>
      </c>
      <c r="F14" s="22">
        <v>1.6</v>
      </c>
      <c r="G14" s="22">
        <f>12*12/162</f>
        <v>0.88888888888888884</v>
      </c>
      <c r="H14" s="22"/>
      <c r="I14" s="22"/>
      <c r="J14" s="22">
        <f>C14*E14*F14*G14</f>
        <v>113.77777777777777</v>
      </c>
      <c r="K14" s="22"/>
      <c r="L14" s="22"/>
      <c r="M14" s="22"/>
      <c r="N14" s="22"/>
      <c r="O14" s="19"/>
      <c r="P14" s="34"/>
    </row>
    <row r="15" spans="1:16" ht="20" customHeight="1" x14ac:dyDescent="0.2">
      <c r="A15" s="20">
        <v>2</v>
      </c>
      <c r="B15" s="24" t="s">
        <v>29</v>
      </c>
      <c r="C15" s="22">
        <v>4</v>
      </c>
      <c r="D15" s="22" t="s">
        <v>2</v>
      </c>
      <c r="E15" s="22">
        <f>10*2</f>
        <v>20</v>
      </c>
      <c r="F15" s="22">
        <v>1.6</v>
      </c>
      <c r="G15" s="22">
        <f>10*10/162</f>
        <v>0.61728395061728392</v>
      </c>
      <c r="H15" s="22"/>
      <c r="I15" s="22">
        <f>G15*F15*E15*C15</f>
        <v>79.012345679012341</v>
      </c>
      <c r="J15" s="22"/>
      <c r="K15" s="22"/>
      <c r="L15" s="22"/>
      <c r="M15" s="22"/>
      <c r="N15" s="22"/>
      <c r="O15" s="19"/>
      <c r="P15" s="34"/>
    </row>
    <row r="16" spans="1:16" ht="20" customHeight="1" x14ac:dyDescent="0.2">
      <c r="A16" s="20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19"/>
      <c r="P16" s="34"/>
    </row>
    <row r="17" spans="1:16" s="38" customFormat="1" ht="20" customHeight="1" x14ac:dyDescent="0.2">
      <c r="A17" s="39" t="s">
        <v>31</v>
      </c>
      <c r="B17" s="25" t="s">
        <v>6</v>
      </c>
      <c r="C17" s="40"/>
      <c r="D17" s="40"/>
      <c r="E17" s="40"/>
      <c r="F17" s="40"/>
      <c r="G17" s="40"/>
      <c r="H17" s="40">
        <f>H21+H22+H27+H28+H33+H34+H38</f>
        <v>1059.7135802469136</v>
      </c>
      <c r="I17" s="40"/>
      <c r="J17" s="40">
        <f>J20+J26+J32+J37</f>
        <v>805.87851851851849</v>
      </c>
      <c r="K17" s="40">
        <f>K19+K25+K31</f>
        <v>986.07407407407413</v>
      </c>
      <c r="L17" s="40"/>
      <c r="M17" s="40"/>
      <c r="N17" s="40"/>
      <c r="O17" s="31">
        <f>K17+J17+H17</f>
        <v>2851.6661728395065</v>
      </c>
      <c r="P17" s="36">
        <f>O17/100</f>
        <v>28.516661728395064</v>
      </c>
    </row>
    <row r="18" spans="1:16" s="11" customFormat="1" ht="20" customHeight="1" x14ac:dyDescent="0.2">
      <c r="A18" s="16" t="s">
        <v>27</v>
      </c>
      <c r="B18" s="17" t="s">
        <v>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9"/>
      <c r="P18" s="33"/>
    </row>
    <row r="19" spans="1:16" ht="20" customHeight="1" x14ac:dyDescent="0.2">
      <c r="A19" s="26">
        <v>1</v>
      </c>
      <c r="B19" s="27" t="s">
        <v>7</v>
      </c>
      <c r="C19" s="22">
        <v>16</v>
      </c>
      <c r="D19" s="22" t="s">
        <v>2</v>
      </c>
      <c r="E19" s="22">
        <v>4</v>
      </c>
      <c r="F19" s="22">
        <v>6.5</v>
      </c>
      <c r="G19" s="22">
        <f>16*16/162</f>
        <v>1.5802469135802468</v>
      </c>
      <c r="H19" s="22"/>
      <c r="I19" s="22"/>
      <c r="J19" s="22"/>
      <c r="K19" s="22">
        <f>+PRODUCT(C19:G19)</f>
        <v>657.38271604938268</v>
      </c>
      <c r="L19" s="22"/>
      <c r="M19" s="22"/>
      <c r="N19" s="22"/>
      <c r="O19" s="19"/>
      <c r="P19" s="34"/>
    </row>
    <row r="20" spans="1:16" ht="20" customHeight="1" x14ac:dyDescent="0.2">
      <c r="A20" s="26">
        <v>2</v>
      </c>
      <c r="B20" s="27" t="s">
        <v>8</v>
      </c>
      <c r="C20" s="22">
        <v>16</v>
      </c>
      <c r="D20" s="22" t="s">
        <v>2</v>
      </c>
      <c r="E20" s="22">
        <v>6</v>
      </c>
      <c r="F20" s="22">
        <v>6.5</v>
      </c>
      <c r="G20" s="22">
        <f>12*12/162</f>
        <v>0.88888888888888884</v>
      </c>
      <c r="H20" s="22"/>
      <c r="I20" s="22"/>
      <c r="J20" s="22">
        <f>+PRODUCT(C20:G20)</f>
        <v>554.66666666666663</v>
      </c>
      <c r="K20" s="22"/>
      <c r="L20" s="22"/>
      <c r="M20" s="22"/>
      <c r="N20" s="22"/>
      <c r="O20" s="19"/>
      <c r="P20" s="34"/>
    </row>
    <row r="21" spans="1:16" ht="20" customHeight="1" x14ac:dyDescent="0.2">
      <c r="A21" s="26">
        <v>3</v>
      </c>
      <c r="B21" s="27" t="s">
        <v>9</v>
      </c>
      <c r="C21" s="22">
        <v>16</v>
      </c>
      <c r="D21" s="22" t="s">
        <v>2</v>
      </c>
      <c r="E21" s="22">
        <v>35</v>
      </c>
      <c r="F21" s="22">
        <v>1.3</v>
      </c>
      <c r="G21" s="22">
        <f>8*8/162</f>
        <v>0.39506172839506171</v>
      </c>
      <c r="H21" s="22">
        <f>+PRODUCT(C21:G21)</f>
        <v>287.60493827160491</v>
      </c>
      <c r="I21" s="22"/>
      <c r="J21" s="22"/>
      <c r="K21" s="22"/>
      <c r="L21" s="22"/>
      <c r="M21" s="22"/>
      <c r="N21" s="22"/>
      <c r="O21" s="19"/>
      <c r="P21" s="34"/>
    </row>
    <row r="22" spans="1:16" ht="20" customHeight="1" x14ac:dyDescent="0.2">
      <c r="A22" s="26">
        <v>4</v>
      </c>
      <c r="B22" s="27" t="s">
        <v>9</v>
      </c>
      <c r="C22" s="22">
        <v>16</v>
      </c>
      <c r="D22" s="22" t="s">
        <v>2</v>
      </c>
      <c r="E22" s="22">
        <f>35*2</f>
        <v>70</v>
      </c>
      <c r="F22" s="22">
        <v>1.04</v>
      </c>
      <c r="G22" s="22">
        <f>8*8/162</f>
        <v>0.39506172839506171</v>
      </c>
      <c r="H22" s="22">
        <f>+PRODUCT(C22:G22)</f>
        <v>460.16790123456786</v>
      </c>
      <c r="I22" s="22"/>
      <c r="J22" s="22"/>
      <c r="K22" s="22"/>
      <c r="L22" s="22"/>
      <c r="M22" s="22"/>
      <c r="N22" s="22"/>
      <c r="O22" s="19"/>
      <c r="P22" s="34"/>
    </row>
    <row r="23" spans="1:16" ht="20" customHeight="1" x14ac:dyDescent="0.2">
      <c r="A23" s="26"/>
      <c r="B23" s="27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19"/>
      <c r="P23" s="34"/>
    </row>
    <row r="24" spans="1:16" s="11" customFormat="1" ht="20" customHeight="1" x14ac:dyDescent="0.2">
      <c r="A24" s="19" t="s">
        <v>33</v>
      </c>
      <c r="B24" s="17" t="s">
        <v>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9"/>
      <c r="P24" s="33"/>
    </row>
    <row r="25" spans="1:16" ht="20" customHeight="1" x14ac:dyDescent="0.2">
      <c r="A25" s="26">
        <v>1</v>
      </c>
      <c r="B25" s="27" t="s">
        <v>7</v>
      </c>
      <c r="C25" s="22">
        <v>4</v>
      </c>
      <c r="D25" s="22" t="s">
        <v>2</v>
      </c>
      <c r="E25" s="22">
        <v>4</v>
      </c>
      <c r="F25" s="22">
        <v>6.5</v>
      </c>
      <c r="G25" s="22">
        <f>16*16/162</f>
        <v>1.5802469135802468</v>
      </c>
      <c r="H25" s="22"/>
      <c r="I25" s="22"/>
      <c r="J25" s="22"/>
      <c r="K25" s="22">
        <f>+PRODUCT(C25:G25)</f>
        <v>164.34567901234567</v>
      </c>
      <c r="L25" s="22"/>
      <c r="M25" s="22"/>
      <c r="N25" s="22"/>
      <c r="O25" s="19"/>
      <c r="P25" s="34"/>
    </row>
    <row r="26" spans="1:16" ht="20" customHeight="1" x14ac:dyDescent="0.2">
      <c r="A26" s="26">
        <v>2</v>
      </c>
      <c r="B26" s="27" t="s">
        <v>8</v>
      </c>
      <c r="C26" s="22">
        <v>4</v>
      </c>
      <c r="D26" s="22" t="s">
        <v>2</v>
      </c>
      <c r="E26" s="22">
        <v>4</v>
      </c>
      <c r="F26" s="22">
        <v>6.5</v>
      </c>
      <c r="G26" s="22">
        <f>12*12/162</f>
        <v>0.88888888888888884</v>
      </c>
      <c r="H26" s="22"/>
      <c r="I26" s="22"/>
      <c r="J26" s="22">
        <f>+PRODUCT(C26:G26)</f>
        <v>92.444444444444443</v>
      </c>
      <c r="K26" s="22"/>
      <c r="L26" s="22"/>
      <c r="M26" s="22"/>
      <c r="N26" s="22"/>
      <c r="O26" s="19"/>
      <c r="P26" s="34"/>
    </row>
    <row r="27" spans="1:16" ht="20" customHeight="1" x14ac:dyDescent="0.2">
      <c r="A27" s="26">
        <v>3</v>
      </c>
      <c r="B27" s="27" t="s">
        <v>9</v>
      </c>
      <c r="C27" s="22">
        <v>4</v>
      </c>
      <c r="D27" s="22" t="s">
        <v>2</v>
      </c>
      <c r="E27" s="22">
        <v>35</v>
      </c>
      <c r="F27" s="22">
        <v>1.06</v>
      </c>
      <c r="G27" s="22">
        <f>8*8/162</f>
        <v>0.39506172839506171</v>
      </c>
      <c r="H27" s="22">
        <f>+PRODUCT(C27:G27)</f>
        <v>58.627160493827162</v>
      </c>
      <c r="I27" s="22"/>
      <c r="J27" s="22"/>
      <c r="K27" s="22"/>
      <c r="L27" s="22"/>
      <c r="M27" s="22"/>
      <c r="N27" s="22"/>
      <c r="O27" s="19"/>
      <c r="P27" s="34"/>
    </row>
    <row r="28" spans="1:16" ht="20" customHeight="1" x14ac:dyDescent="0.2">
      <c r="A28" s="26">
        <v>4</v>
      </c>
      <c r="B28" s="27" t="s">
        <v>9</v>
      </c>
      <c r="C28" s="22">
        <v>4</v>
      </c>
      <c r="D28" s="22" t="s">
        <v>2</v>
      </c>
      <c r="E28" s="22">
        <v>35</v>
      </c>
      <c r="F28" s="22">
        <v>0.82</v>
      </c>
      <c r="G28" s="22">
        <f>8*8/162</f>
        <v>0.39506172839506171</v>
      </c>
      <c r="H28" s="22">
        <f>+PRODUCT(C28:G28)</f>
        <v>45.353086419753083</v>
      </c>
      <c r="I28" s="22"/>
      <c r="J28" s="22"/>
      <c r="K28" s="22"/>
      <c r="L28" s="22"/>
      <c r="M28" s="22"/>
      <c r="N28" s="22"/>
      <c r="O28" s="19"/>
      <c r="P28" s="34"/>
    </row>
    <row r="29" spans="1:16" ht="20" customHeight="1" x14ac:dyDescent="0.2">
      <c r="A29" s="26"/>
      <c r="B29" s="27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19"/>
      <c r="P29" s="34"/>
    </row>
    <row r="30" spans="1:16" s="11" customFormat="1" ht="20" customHeight="1" x14ac:dyDescent="0.2">
      <c r="A30" s="19" t="s">
        <v>34</v>
      </c>
      <c r="B30" s="17" t="s">
        <v>4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9"/>
      <c r="P30" s="33"/>
    </row>
    <row r="31" spans="1:16" ht="20" customHeight="1" x14ac:dyDescent="0.2">
      <c r="A31" s="26">
        <v>1</v>
      </c>
      <c r="B31" s="27" t="s">
        <v>7</v>
      </c>
      <c r="C31" s="22">
        <v>4</v>
      </c>
      <c r="D31" s="22" t="s">
        <v>2</v>
      </c>
      <c r="E31" s="22">
        <v>4</v>
      </c>
      <c r="F31" s="22">
        <v>6.5</v>
      </c>
      <c r="G31" s="22">
        <f>16*16/162</f>
        <v>1.5802469135802468</v>
      </c>
      <c r="H31" s="22"/>
      <c r="I31" s="22"/>
      <c r="J31" s="22"/>
      <c r="K31" s="22">
        <f>+PRODUCT(C31:G31)</f>
        <v>164.34567901234567</v>
      </c>
      <c r="L31" s="22"/>
      <c r="M31" s="22"/>
      <c r="N31" s="22"/>
      <c r="O31" s="19"/>
      <c r="P31" s="34"/>
    </row>
    <row r="32" spans="1:16" ht="20" customHeight="1" x14ac:dyDescent="0.2">
      <c r="A32" s="26">
        <v>2</v>
      </c>
      <c r="B32" s="27" t="s">
        <v>8</v>
      </c>
      <c r="C32" s="22">
        <v>4</v>
      </c>
      <c r="D32" s="22" t="s">
        <v>2</v>
      </c>
      <c r="E32" s="22">
        <v>6</v>
      </c>
      <c r="F32" s="22">
        <v>6.5</v>
      </c>
      <c r="G32" s="22">
        <f>12*12/162</f>
        <v>0.88888888888888884</v>
      </c>
      <c r="H32" s="22"/>
      <c r="I32" s="22"/>
      <c r="J32" s="22">
        <f>+PRODUCT(C32:G32)</f>
        <v>138.66666666666666</v>
      </c>
      <c r="K32" s="22"/>
      <c r="L32" s="22"/>
      <c r="M32" s="22"/>
      <c r="N32" s="22"/>
      <c r="O32" s="19"/>
      <c r="P32" s="34"/>
    </row>
    <row r="33" spans="1:16" ht="20" customHeight="1" x14ac:dyDescent="0.2">
      <c r="A33" s="26">
        <v>3</v>
      </c>
      <c r="B33" s="27" t="s">
        <v>9</v>
      </c>
      <c r="C33" s="22">
        <v>4</v>
      </c>
      <c r="D33" s="22" t="s">
        <v>2</v>
      </c>
      <c r="E33" s="22">
        <v>35</v>
      </c>
      <c r="F33" s="22">
        <v>1.26</v>
      </c>
      <c r="G33" s="22">
        <f>8*8/162</f>
        <v>0.39506172839506171</v>
      </c>
      <c r="H33" s="22">
        <f>+PRODUCT(C33:G33)</f>
        <v>69.688888888888883</v>
      </c>
      <c r="I33" s="22"/>
      <c r="J33" s="22"/>
      <c r="K33" s="22"/>
      <c r="L33" s="22"/>
      <c r="M33" s="22"/>
      <c r="N33" s="22"/>
      <c r="O33" s="19"/>
      <c r="P33" s="34"/>
    </row>
    <row r="34" spans="1:16" ht="20" customHeight="1" x14ac:dyDescent="0.2">
      <c r="A34" s="26">
        <v>4</v>
      </c>
      <c r="B34" s="27" t="s">
        <v>9</v>
      </c>
      <c r="C34" s="22">
        <v>4</v>
      </c>
      <c r="D34" s="22" t="s">
        <v>2</v>
      </c>
      <c r="E34" s="22">
        <f>35*2</f>
        <v>70</v>
      </c>
      <c r="F34" s="22">
        <v>1.1399999999999999</v>
      </c>
      <c r="G34" s="22">
        <f>8*8/162</f>
        <v>0.39506172839506171</v>
      </c>
      <c r="H34" s="22">
        <f>+PRODUCT(C34:G34)</f>
        <v>126.10370370370369</v>
      </c>
      <c r="I34" s="22"/>
      <c r="J34" s="22"/>
      <c r="K34" s="22"/>
      <c r="L34" s="22"/>
      <c r="M34" s="22"/>
      <c r="N34" s="22"/>
      <c r="O34" s="19"/>
      <c r="P34" s="34"/>
    </row>
    <row r="35" spans="1:16" ht="20" customHeight="1" x14ac:dyDescent="0.2">
      <c r="A35" s="26"/>
      <c r="B35" s="27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19"/>
      <c r="P35" s="34"/>
    </row>
    <row r="36" spans="1:16" s="11" customFormat="1" ht="20" customHeight="1" x14ac:dyDescent="0.2">
      <c r="A36" s="19" t="s">
        <v>35</v>
      </c>
      <c r="B36" s="17" t="s">
        <v>5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9"/>
      <c r="P36" s="33"/>
    </row>
    <row r="37" spans="1:16" ht="20" customHeight="1" x14ac:dyDescent="0.2">
      <c r="A37" s="26">
        <v>1</v>
      </c>
      <c r="B37" s="27" t="s">
        <v>10</v>
      </c>
      <c r="C37" s="22">
        <v>4</v>
      </c>
      <c r="D37" s="22" t="s">
        <v>2</v>
      </c>
      <c r="E37" s="22">
        <v>4</v>
      </c>
      <c r="F37" s="22">
        <v>3.18</v>
      </c>
      <c r="G37" s="22">
        <f>8*8/162</f>
        <v>0.39506172839506171</v>
      </c>
      <c r="H37" s="22"/>
      <c r="I37" s="22"/>
      <c r="J37" s="22">
        <f>+PRODUCT(C37:G37)</f>
        <v>20.10074074074074</v>
      </c>
      <c r="K37" s="22"/>
      <c r="L37" s="22"/>
      <c r="M37" s="22"/>
      <c r="N37" s="22"/>
      <c r="O37" s="19"/>
      <c r="P37" s="34"/>
    </row>
    <row r="38" spans="1:16" ht="20" customHeight="1" x14ac:dyDescent="0.2">
      <c r="A38" s="26">
        <v>2</v>
      </c>
      <c r="B38" s="27" t="s">
        <v>9</v>
      </c>
      <c r="C38" s="22">
        <v>4</v>
      </c>
      <c r="D38" s="22" t="s">
        <v>2</v>
      </c>
      <c r="E38" s="22">
        <v>11</v>
      </c>
      <c r="F38" s="22">
        <v>0.7</v>
      </c>
      <c r="G38" s="22">
        <f>8*8/162</f>
        <v>0.39506172839506171</v>
      </c>
      <c r="H38" s="22">
        <f>+PRODUCT(C38:G38)</f>
        <v>12.1679012345679</v>
      </c>
      <c r="I38" s="22"/>
      <c r="J38" s="22"/>
      <c r="K38" s="22"/>
      <c r="L38" s="22"/>
      <c r="M38" s="22"/>
      <c r="N38" s="22"/>
      <c r="O38" s="19"/>
      <c r="P38" s="34"/>
    </row>
    <row r="39" spans="1:16" ht="20" customHeight="1" x14ac:dyDescent="0.2">
      <c r="A39" s="13"/>
      <c r="B39" s="7">
        <v>6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14"/>
      <c r="P39" s="32"/>
    </row>
    <row r="40" spans="1:16" s="38" customFormat="1" ht="20" customHeight="1" x14ac:dyDescent="0.2">
      <c r="A40" s="15" t="s">
        <v>32</v>
      </c>
      <c r="B40" s="25" t="s">
        <v>11</v>
      </c>
      <c r="C40" s="40"/>
      <c r="D40" s="40"/>
      <c r="E40" s="40"/>
      <c r="F40" s="40"/>
      <c r="G40" s="40"/>
      <c r="H40" s="40">
        <f>H50+H60+H67</f>
        <v>402.42567901234565</v>
      </c>
      <c r="I40" s="40"/>
      <c r="J40" s="40">
        <f>J48+J49+J58+J59+J65+J66</f>
        <v>332.85333333333335</v>
      </c>
      <c r="K40" s="40">
        <f>K46+K47+K56+K57+K63+K64</f>
        <v>752.78222222222223</v>
      </c>
      <c r="L40" s="40">
        <f>L44+L45+L54+L55</f>
        <v>387.40740740740739</v>
      </c>
      <c r="M40" s="40">
        <f>M43+M53</f>
        <v>240.74074074074076</v>
      </c>
      <c r="N40" s="40"/>
      <c r="O40" s="31">
        <f>H40+J40+K40+L40+M40</f>
        <v>2116.2093827160493</v>
      </c>
      <c r="P40" s="36">
        <f>O40/100</f>
        <v>21.162093827160493</v>
      </c>
    </row>
    <row r="41" spans="1:16" ht="20" customHeight="1" x14ac:dyDescent="0.2">
      <c r="A41" s="26"/>
      <c r="B41" s="27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19"/>
      <c r="P41" s="34"/>
    </row>
    <row r="42" spans="1:16" s="11" customFormat="1" ht="20" customHeight="1" x14ac:dyDescent="0.2">
      <c r="A42" s="19" t="s">
        <v>27</v>
      </c>
      <c r="B42" s="17" t="s">
        <v>12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9"/>
      <c r="P42" s="33"/>
    </row>
    <row r="43" spans="1:16" ht="20" customHeight="1" x14ac:dyDescent="0.2">
      <c r="A43" s="26">
        <v>1</v>
      </c>
      <c r="B43" s="27" t="s">
        <v>13</v>
      </c>
      <c r="C43" s="22">
        <v>2</v>
      </c>
      <c r="D43" s="22" t="s">
        <v>2</v>
      </c>
      <c r="E43" s="22">
        <v>3</v>
      </c>
      <c r="F43" s="22">
        <v>2.6</v>
      </c>
      <c r="G43" s="22">
        <f>25*25/162</f>
        <v>3.8580246913580245</v>
      </c>
      <c r="H43" s="22"/>
      <c r="I43" s="22"/>
      <c r="J43" s="22"/>
      <c r="K43" s="22"/>
      <c r="L43" s="22"/>
      <c r="M43" s="22">
        <f>+PRODUCT(C43:G43)</f>
        <v>60.18518518518519</v>
      </c>
      <c r="N43" s="22"/>
      <c r="O43" s="19"/>
      <c r="P43" s="34"/>
    </row>
    <row r="44" spans="1:16" ht="20" customHeight="1" x14ac:dyDescent="0.2">
      <c r="A44" s="26">
        <v>2</v>
      </c>
      <c r="B44" s="27" t="s">
        <v>14</v>
      </c>
      <c r="C44" s="22">
        <v>2</v>
      </c>
      <c r="D44" s="22" t="s">
        <v>2</v>
      </c>
      <c r="E44" s="22">
        <v>2</v>
      </c>
      <c r="F44" s="22">
        <v>15.4</v>
      </c>
      <c r="G44" s="22">
        <f>20*20/162</f>
        <v>2.4691358024691357</v>
      </c>
      <c r="H44" s="22"/>
      <c r="I44" s="22"/>
      <c r="J44" s="22"/>
      <c r="K44" s="22"/>
      <c r="L44" s="22">
        <f>+PRODUCT(C44:G44)</f>
        <v>152.09876543209876</v>
      </c>
      <c r="M44" s="22"/>
      <c r="N44" s="22"/>
      <c r="O44" s="19"/>
      <c r="P44" s="34"/>
    </row>
    <row r="45" spans="1:16" ht="20" customHeight="1" x14ac:dyDescent="0.2">
      <c r="A45" s="26">
        <v>3</v>
      </c>
      <c r="B45" s="27" t="s">
        <v>14</v>
      </c>
      <c r="C45" s="22">
        <v>2</v>
      </c>
      <c r="D45" s="22" t="s">
        <v>2</v>
      </c>
      <c r="E45" s="22">
        <v>2</v>
      </c>
      <c r="F45" s="22">
        <v>1</v>
      </c>
      <c r="G45" s="22"/>
      <c r="H45" s="22"/>
      <c r="I45" s="22"/>
      <c r="J45" s="22"/>
      <c r="K45" s="22"/>
      <c r="L45" s="22">
        <f>+PRODUCT(C45:G45)</f>
        <v>4</v>
      </c>
      <c r="M45" s="22"/>
      <c r="N45" s="22"/>
      <c r="O45" s="19"/>
      <c r="P45" s="34"/>
    </row>
    <row r="46" spans="1:16" ht="20" customHeight="1" x14ac:dyDescent="0.2">
      <c r="A46" s="26">
        <v>4</v>
      </c>
      <c r="B46" s="27" t="s">
        <v>7</v>
      </c>
      <c r="C46" s="22">
        <v>2</v>
      </c>
      <c r="D46" s="22" t="s">
        <v>2</v>
      </c>
      <c r="E46" s="22">
        <v>2</v>
      </c>
      <c r="F46" s="22">
        <v>15.4</v>
      </c>
      <c r="G46" s="22">
        <f>16*16/162</f>
        <v>1.5802469135802468</v>
      </c>
      <c r="H46" s="22"/>
      <c r="I46" s="22"/>
      <c r="J46" s="22"/>
      <c r="K46" s="22">
        <f>+PRODUCT(C46:G46)</f>
        <v>97.343209876543213</v>
      </c>
      <c r="L46" s="22"/>
      <c r="M46" s="22"/>
      <c r="N46" s="22"/>
      <c r="O46" s="19"/>
      <c r="P46" s="34"/>
    </row>
    <row r="47" spans="1:16" ht="20" customHeight="1" x14ac:dyDescent="0.2">
      <c r="A47" s="26">
        <v>5</v>
      </c>
      <c r="B47" s="27" t="s">
        <v>7</v>
      </c>
      <c r="C47" s="22">
        <v>2</v>
      </c>
      <c r="D47" s="22" t="s">
        <v>2</v>
      </c>
      <c r="E47" s="22">
        <v>2</v>
      </c>
      <c r="F47" s="22">
        <v>0.8</v>
      </c>
      <c r="G47" s="22"/>
      <c r="H47" s="22"/>
      <c r="I47" s="22"/>
      <c r="J47" s="22"/>
      <c r="K47" s="22">
        <f>+PRODUCT(C47:G47)</f>
        <v>3.2</v>
      </c>
      <c r="L47" s="22"/>
      <c r="M47" s="22"/>
      <c r="N47" s="22"/>
      <c r="O47" s="19"/>
      <c r="P47" s="34"/>
    </row>
    <row r="48" spans="1:16" ht="20" customHeight="1" x14ac:dyDescent="0.2">
      <c r="A48" s="26">
        <v>6</v>
      </c>
      <c r="B48" s="27" t="s">
        <v>8</v>
      </c>
      <c r="C48" s="22">
        <v>2</v>
      </c>
      <c r="D48" s="22" t="s">
        <v>2</v>
      </c>
      <c r="E48" s="22">
        <v>3</v>
      </c>
      <c r="F48" s="22">
        <v>15.4</v>
      </c>
      <c r="G48" s="22">
        <f>12*12/162</f>
        <v>0.88888888888888884</v>
      </c>
      <c r="H48" s="22"/>
      <c r="I48" s="22"/>
      <c r="J48" s="22">
        <f>+PRODUCT(C48:G48)</f>
        <v>82.13333333333334</v>
      </c>
      <c r="K48" s="22"/>
      <c r="L48" s="22"/>
      <c r="M48" s="22"/>
      <c r="N48" s="22"/>
      <c r="O48" s="19"/>
      <c r="P48" s="34"/>
    </row>
    <row r="49" spans="1:16" ht="20" customHeight="1" x14ac:dyDescent="0.2">
      <c r="A49" s="26">
        <v>7</v>
      </c>
      <c r="B49" s="27" t="s">
        <v>8</v>
      </c>
      <c r="C49" s="22">
        <v>2</v>
      </c>
      <c r="D49" s="22" t="s">
        <v>2</v>
      </c>
      <c r="E49" s="22">
        <v>3</v>
      </c>
      <c r="F49" s="22">
        <v>1</v>
      </c>
      <c r="G49" s="22"/>
      <c r="H49" s="22"/>
      <c r="I49" s="22"/>
      <c r="J49" s="22">
        <f>+PRODUCT(C49:G49)</f>
        <v>6</v>
      </c>
      <c r="K49" s="22"/>
      <c r="L49" s="22"/>
      <c r="M49" s="22"/>
      <c r="N49" s="22"/>
      <c r="O49" s="19"/>
      <c r="P49" s="34"/>
    </row>
    <row r="50" spans="1:16" ht="20" customHeight="1" x14ac:dyDescent="0.2">
      <c r="A50" s="26">
        <v>8</v>
      </c>
      <c r="B50" s="27" t="s">
        <v>15</v>
      </c>
      <c r="C50" s="22">
        <v>2</v>
      </c>
      <c r="D50" s="22" t="s">
        <v>2</v>
      </c>
      <c r="E50" s="22">
        <v>91</v>
      </c>
      <c r="F50" s="22">
        <v>1.26</v>
      </c>
      <c r="G50" s="22">
        <f>8*8/162</f>
        <v>0.39506172839506171</v>
      </c>
      <c r="H50" s="22">
        <f>+PRODUCT(C50:G50)</f>
        <v>90.595555555555549</v>
      </c>
      <c r="I50" s="22"/>
      <c r="J50" s="22"/>
      <c r="K50" s="22"/>
      <c r="L50" s="22"/>
      <c r="M50" s="22"/>
      <c r="N50" s="22"/>
      <c r="O50" s="19"/>
      <c r="P50" s="34"/>
    </row>
    <row r="51" spans="1:16" ht="20" customHeight="1" x14ac:dyDescent="0.2">
      <c r="A51" s="26"/>
      <c r="B51" s="27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19"/>
      <c r="P51" s="34"/>
    </row>
    <row r="52" spans="1:16" s="11" customFormat="1" ht="20" customHeight="1" x14ac:dyDescent="0.2">
      <c r="A52" s="19" t="s">
        <v>33</v>
      </c>
      <c r="B52" s="17" t="s">
        <v>16</v>
      </c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9"/>
      <c r="P52" s="33"/>
    </row>
    <row r="53" spans="1:16" ht="20" customHeight="1" x14ac:dyDescent="0.2">
      <c r="A53" s="26">
        <v>1</v>
      </c>
      <c r="B53" s="27" t="s">
        <v>13</v>
      </c>
      <c r="C53" s="22">
        <v>2</v>
      </c>
      <c r="D53" s="22" t="s">
        <v>2</v>
      </c>
      <c r="E53" s="22">
        <v>9</v>
      </c>
      <c r="F53" s="22">
        <v>2.6</v>
      </c>
      <c r="G53" s="22">
        <f>25*25/162</f>
        <v>3.8580246913580245</v>
      </c>
      <c r="H53" s="22"/>
      <c r="I53" s="22"/>
      <c r="J53" s="22"/>
      <c r="K53" s="22"/>
      <c r="L53" s="22"/>
      <c r="M53" s="22">
        <f>+PRODUCT(C53:G53)</f>
        <v>180.55555555555557</v>
      </c>
      <c r="N53" s="22"/>
      <c r="O53" s="19"/>
      <c r="P53" s="34"/>
    </row>
    <row r="54" spans="1:16" ht="20" customHeight="1" x14ac:dyDescent="0.2">
      <c r="A54" s="26">
        <v>2</v>
      </c>
      <c r="B54" s="27" t="s">
        <v>14</v>
      </c>
      <c r="C54" s="22">
        <v>2</v>
      </c>
      <c r="D54" s="22" t="s">
        <v>2</v>
      </c>
      <c r="E54" s="22">
        <v>1</v>
      </c>
      <c r="F54" s="22">
        <v>42.84</v>
      </c>
      <c r="G54" s="22">
        <f>20*20/162</f>
        <v>2.4691358024691357</v>
      </c>
      <c r="H54" s="22"/>
      <c r="I54" s="22"/>
      <c r="J54" s="22"/>
      <c r="K54" s="22"/>
      <c r="L54" s="22">
        <f>+PRODUCT(C54:G54)</f>
        <v>211.55555555555557</v>
      </c>
      <c r="M54" s="22"/>
      <c r="N54" s="22"/>
      <c r="O54" s="19"/>
      <c r="P54" s="34"/>
    </row>
    <row r="55" spans="1:16" ht="20" customHeight="1" x14ac:dyDescent="0.2">
      <c r="A55" s="26">
        <v>3</v>
      </c>
      <c r="B55" s="27" t="s">
        <v>14</v>
      </c>
      <c r="C55" s="22">
        <v>2</v>
      </c>
      <c r="D55" s="22" t="s">
        <v>2</v>
      </c>
      <c r="E55" s="22">
        <v>4</v>
      </c>
      <c r="F55" s="22">
        <v>1</v>
      </c>
      <c r="G55" s="22">
        <f>20*20/162</f>
        <v>2.4691358024691357</v>
      </c>
      <c r="H55" s="22"/>
      <c r="I55" s="22"/>
      <c r="J55" s="22"/>
      <c r="K55" s="22"/>
      <c r="L55" s="22">
        <f>+PRODUCT(C55:G55)</f>
        <v>19.753086419753085</v>
      </c>
      <c r="M55" s="22"/>
      <c r="N55" s="22"/>
      <c r="O55" s="19"/>
      <c r="P55" s="34"/>
    </row>
    <row r="56" spans="1:16" ht="20" customHeight="1" x14ac:dyDescent="0.2">
      <c r="A56" s="26">
        <v>4</v>
      </c>
      <c r="B56" s="27" t="s">
        <v>7</v>
      </c>
      <c r="C56" s="22">
        <v>2</v>
      </c>
      <c r="D56" s="22" t="s">
        <v>2</v>
      </c>
      <c r="E56" s="22">
        <v>4</v>
      </c>
      <c r="F56" s="22">
        <v>42.84</v>
      </c>
      <c r="G56" s="22">
        <f>16*16/162</f>
        <v>1.5802469135802468</v>
      </c>
      <c r="H56" s="22"/>
      <c r="I56" s="22"/>
      <c r="J56" s="22"/>
      <c r="K56" s="22">
        <f>+PRODUCT(C56:G56)</f>
        <v>541.58222222222219</v>
      </c>
      <c r="L56" s="22"/>
      <c r="M56" s="22"/>
      <c r="N56" s="22"/>
      <c r="O56" s="19"/>
      <c r="P56" s="34"/>
    </row>
    <row r="57" spans="1:16" ht="20" customHeight="1" x14ac:dyDescent="0.2">
      <c r="A57" s="26">
        <v>5</v>
      </c>
      <c r="B57" s="27" t="s">
        <v>7</v>
      </c>
      <c r="C57" s="22">
        <v>2</v>
      </c>
      <c r="D57" s="22" t="s">
        <v>2</v>
      </c>
      <c r="E57" s="22">
        <v>4</v>
      </c>
      <c r="F57" s="22">
        <v>0.8</v>
      </c>
      <c r="G57" s="22">
        <f>16*16/162</f>
        <v>1.5802469135802468</v>
      </c>
      <c r="H57" s="22"/>
      <c r="I57" s="22"/>
      <c r="J57" s="22"/>
      <c r="K57" s="22">
        <f>+PRODUCT(C57:G57)</f>
        <v>10.11358024691358</v>
      </c>
      <c r="L57" s="22"/>
      <c r="M57" s="22"/>
      <c r="N57" s="22"/>
      <c r="O57" s="19"/>
      <c r="P57" s="34"/>
    </row>
    <row r="58" spans="1:16" ht="20" customHeight="1" x14ac:dyDescent="0.2">
      <c r="A58" s="26">
        <v>6</v>
      </c>
      <c r="B58" s="27" t="s">
        <v>8</v>
      </c>
      <c r="C58" s="22">
        <v>2</v>
      </c>
      <c r="D58" s="22" t="s">
        <v>2</v>
      </c>
      <c r="E58" s="22">
        <v>2</v>
      </c>
      <c r="F58" s="22">
        <v>42.84</v>
      </c>
      <c r="G58" s="22">
        <f>12*12/162</f>
        <v>0.88888888888888884</v>
      </c>
      <c r="H58" s="22"/>
      <c r="I58" s="22"/>
      <c r="J58" s="22">
        <f>+PRODUCT(C58:G58)</f>
        <v>152.32</v>
      </c>
      <c r="K58" s="22"/>
      <c r="L58" s="22"/>
      <c r="M58" s="22"/>
      <c r="N58" s="22"/>
      <c r="O58" s="19"/>
      <c r="P58" s="34"/>
    </row>
    <row r="59" spans="1:16" ht="20" customHeight="1" x14ac:dyDescent="0.2">
      <c r="A59" s="26">
        <v>7</v>
      </c>
      <c r="B59" s="27" t="s">
        <v>8</v>
      </c>
      <c r="C59" s="22">
        <v>2</v>
      </c>
      <c r="D59" s="22" t="s">
        <v>2</v>
      </c>
      <c r="E59" s="22">
        <v>4</v>
      </c>
      <c r="F59" s="22">
        <v>0.6</v>
      </c>
      <c r="G59" s="22">
        <f>12*12/162</f>
        <v>0.88888888888888884</v>
      </c>
      <c r="H59" s="22"/>
      <c r="I59" s="22"/>
      <c r="J59" s="22">
        <f>+PRODUCT(C59:G59)</f>
        <v>4.2666666666666666</v>
      </c>
      <c r="K59" s="22"/>
      <c r="L59" s="22"/>
      <c r="M59" s="22"/>
      <c r="N59" s="22"/>
      <c r="O59" s="19"/>
      <c r="P59" s="34"/>
    </row>
    <row r="60" spans="1:16" ht="20" customHeight="1" x14ac:dyDescent="0.2">
      <c r="A60" s="26">
        <v>8</v>
      </c>
      <c r="B60" s="27" t="s">
        <v>17</v>
      </c>
      <c r="C60" s="22">
        <v>2</v>
      </c>
      <c r="D60" s="22" t="s">
        <v>2</v>
      </c>
      <c r="E60" s="22">
        <v>241</v>
      </c>
      <c r="F60" s="22">
        <v>1.26</v>
      </c>
      <c r="G60" s="22">
        <f>8*8/162</f>
        <v>0.39506172839506171</v>
      </c>
      <c r="H60" s="22">
        <f>+PRODUCT(C60:G60)</f>
        <v>239.92888888888891</v>
      </c>
      <c r="I60" s="22"/>
      <c r="J60" s="22"/>
      <c r="K60" s="22"/>
      <c r="L60" s="22"/>
      <c r="M60" s="22"/>
      <c r="N60" s="22"/>
      <c r="O60" s="19"/>
      <c r="P60" s="34"/>
    </row>
    <row r="61" spans="1:16" ht="20" customHeight="1" x14ac:dyDescent="0.2">
      <c r="A61" s="26"/>
      <c r="B61" s="27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19"/>
      <c r="P61" s="34"/>
    </row>
    <row r="62" spans="1:16" s="11" customFormat="1" ht="20" customHeight="1" x14ac:dyDescent="0.2">
      <c r="A62" s="19" t="s">
        <v>34</v>
      </c>
      <c r="B62" s="17" t="s">
        <v>18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9"/>
      <c r="P62" s="33"/>
    </row>
    <row r="63" spans="1:16" ht="20" customHeight="1" x14ac:dyDescent="0.2">
      <c r="A63" s="26">
        <v>1</v>
      </c>
      <c r="B63" s="27" t="s">
        <v>7</v>
      </c>
      <c r="C63" s="22">
        <v>2</v>
      </c>
      <c r="D63" s="22" t="s">
        <v>2</v>
      </c>
      <c r="E63" s="22">
        <v>2</v>
      </c>
      <c r="F63" s="22">
        <v>15.4</v>
      </c>
      <c r="G63" s="22">
        <f>16*16/162</f>
        <v>1.5802469135802468</v>
      </c>
      <c r="H63" s="22"/>
      <c r="I63" s="22"/>
      <c r="J63" s="22"/>
      <c r="K63" s="22">
        <f>+PRODUCT(C63:G63)</f>
        <v>97.343209876543213</v>
      </c>
      <c r="L63" s="22"/>
      <c r="M63" s="22"/>
      <c r="N63" s="22"/>
      <c r="O63" s="19"/>
      <c r="P63" s="34"/>
    </row>
    <row r="64" spans="1:16" ht="20" customHeight="1" x14ac:dyDescent="0.2">
      <c r="A64" s="26">
        <v>2</v>
      </c>
      <c r="B64" s="27" t="s">
        <v>7</v>
      </c>
      <c r="C64" s="22">
        <v>2</v>
      </c>
      <c r="D64" s="22" t="s">
        <v>2</v>
      </c>
      <c r="E64" s="22">
        <v>2</v>
      </c>
      <c r="F64" s="22">
        <v>0.8</v>
      </c>
      <c r="G64" s="22"/>
      <c r="H64" s="22"/>
      <c r="I64" s="22"/>
      <c r="J64" s="22"/>
      <c r="K64" s="22">
        <f>+PRODUCT(C64:G64)</f>
        <v>3.2</v>
      </c>
      <c r="L64" s="22"/>
      <c r="M64" s="22"/>
      <c r="N64" s="22"/>
      <c r="O64" s="19"/>
      <c r="P64" s="34"/>
    </row>
    <row r="65" spans="1:16" ht="20" customHeight="1" x14ac:dyDescent="0.2">
      <c r="A65" s="26">
        <v>3</v>
      </c>
      <c r="B65" s="27" t="s">
        <v>8</v>
      </c>
      <c r="C65" s="22">
        <v>2</v>
      </c>
      <c r="D65" s="22" t="s">
        <v>2</v>
      </c>
      <c r="E65" s="22">
        <v>3</v>
      </c>
      <c r="F65" s="22">
        <v>15.4</v>
      </c>
      <c r="G65" s="22">
        <f>12*12/162</f>
        <v>0.88888888888888884</v>
      </c>
      <c r="H65" s="22"/>
      <c r="I65" s="22"/>
      <c r="J65" s="22">
        <f>+PRODUCT(C65:G65)</f>
        <v>82.13333333333334</v>
      </c>
      <c r="K65" s="22"/>
      <c r="L65" s="22"/>
      <c r="M65" s="22"/>
      <c r="N65" s="22"/>
      <c r="O65" s="19"/>
      <c r="P65" s="34"/>
    </row>
    <row r="66" spans="1:16" ht="20" customHeight="1" x14ac:dyDescent="0.2">
      <c r="A66" s="26">
        <v>4</v>
      </c>
      <c r="B66" s="27" t="s">
        <v>8</v>
      </c>
      <c r="C66" s="22">
        <v>2</v>
      </c>
      <c r="D66" s="22" t="s">
        <v>2</v>
      </c>
      <c r="E66" s="22">
        <v>3</v>
      </c>
      <c r="F66" s="22">
        <v>1</v>
      </c>
      <c r="G66" s="22"/>
      <c r="H66" s="22"/>
      <c r="I66" s="22"/>
      <c r="J66" s="22">
        <f>+PRODUCT(C66:G66)</f>
        <v>6</v>
      </c>
      <c r="K66" s="22"/>
      <c r="L66" s="22"/>
      <c r="M66" s="22"/>
      <c r="N66" s="22"/>
      <c r="O66" s="19"/>
      <c r="P66" s="34"/>
    </row>
    <row r="67" spans="1:16" ht="20" customHeight="1" x14ac:dyDescent="0.2">
      <c r="A67" s="26">
        <v>5</v>
      </c>
      <c r="B67" s="27" t="s">
        <v>15</v>
      </c>
      <c r="C67" s="22">
        <v>2</v>
      </c>
      <c r="D67" s="22" t="s">
        <v>2</v>
      </c>
      <c r="E67" s="22">
        <v>91</v>
      </c>
      <c r="F67" s="22">
        <v>1</v>
      </c>
      <c r="G67" s="22">
        <f>8*8/162</f>
        <v>0.39506172839506171</v>
      </c>
      <c r="H67" s="22">
        <f>+PRODUCT(C67:G67)</f>
        <v>71.901234567901227</v>
      </c>
      <c r="I67" s="22"/>
      <c r="J67" s="22"/>
      <c r="K67" s="22"/>
      <c r="L67" s="22"/>
      <c r="M67" s="22"/>
      <c r="N67" s="22"/>
      <c r="O67" s="19"/>
      <c r="P67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Techi</dc:creator>
  <cp:lastModifiedBy>Techi</cp:lastModifiedBy>
  <dcterms:created xsi:type="dcterms:W3CDTF">2026-01-29T10:20:56Z</dcterms:created>
  <dcterms:modified xsi:type="dcterms:W3CDTF">2026-01-29T12:35:09Z</dcterms:modified>
</cp:coreProperties>
</file>
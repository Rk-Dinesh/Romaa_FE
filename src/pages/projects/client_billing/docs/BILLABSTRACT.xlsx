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1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echi/Romaa/ExcelTemp/Billing/"/>
    </mc:Choice>
  </mc:AlternateContent>
  <xr:revisionPtr revIDLastSave="0" documentId="13_ncr:1_{B0E3EBD4-811B-D04D-B671-D6B56D0F16E9}" xr6:coauthVersionLast="47" xr6:coauthVersionMax="47" xr10:uidLastSave="{00000000-0000-0000-0000-000000000000}"/>
  <bookViews>
    <workbookView xWindow="0" yWindow="0" windowWidth="28800" windowHeight="18000" xr2:uid="{73994E35-663E-47CF-8200-A45EFCC65B6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89" i="1" l="1"/>
  <c r="I94" i="1"/>
  <c r="I99" i="1"/>
  <c r="I105" i="1"/>
  <c r="I83" i="1"/>
  <c r="I78" i="1"/>
  <c r="I74" i="1"/>
  <c r="I70" i="1"/>
</calcChain>
</file>

<file path=xl/sharedStrings.xml><?xml version="1.0" encoding="utf-8"?>
<sst xmlns="http://schemas.openxmlformats.org/spreadsheetml/2006/main" count="365" uniqueCount="104">
  <si>
    <t>Description</t>
  </si>
  <si>
    <t>B</t>
  </si>
  <si>
    <t>D</t>
  </si>
  <si>
    <t>Unit</t>
  </si>
  <si>
    <t>At godown campus</t>
  </si>
  <si>
    <t xml:space="preserve">1000MT </t>
  </si>
  <si>
    <t>Panel wall Column</t>
  </si>
  <si>
    <t>X</t>
  </si>
  <si>
    <t>Gable  wall Column</t>
  </si>
  <si>
    <t>Strut column</t>
  </si>
  <si>
    <t>Grade beam alround</t>
  </si>
  <si>
    <t>Grade beam middle</t>
  </si>
  <si>
    <t>D/F Column footing</t>
  </si>
  <si>
    <t>D/F Column footing middle</t>
  </si>
  <si>
    <t xml:space="preserve">D/F Strut Column </t>
  </si>
  <si>
    <t xml:space="preserve">1500MT </t>
  </si>
  <si>
    <t xml:space="preserve">D/F  Strut Column footing </t>
  </si>
  <si>
    <t>Stub column</t>
  </si>
  <si>
    <t>Matt , Column</t>
  </si>
  <si>
    <t>Qtl</t>
  </si>
  <si>
    <t>Allroud of panel wall column Pedestal</t>
  </si>
  <si>
    <t>Allround Gable wall column</t>
  </si>
  <si>
    <t>Allround strut column</t>
  </si>
  <si>
    <t>Allroud of panel wall column Padestal</t>
  </si>
  <si>
    <t>Allround cable wall column Padestal</t>
  </si>
  <si>
    <t>Allround strut column Padestal</t>
  </si>
  <si>
    <t>1000MT - Column Upto Basement Level</t>
  </si>
  <si>
    <t>Panel wall Column  C1</t>
  </si>
  <si>
    <t>Corner Columns C3</t>
  </si>
  <si>
    <t>Cable  wall Column C2</t>
  </si>
  <si>
    <t>Pedestal Strut Column C4</t>
  </si>
  <si>
    <t>Panel wall Column Matt</t>
  </si>
  <si>
    <t>Cable  wall Column Matt</t>
  </si>
  <si>
    <t>Strut Column Matt</t>
  </si>
  <si>
    <t>Coping</t>
  </si>
  <si>
    <t xml:space="preserve">Panel wall Column </t>
  </si>
  <si>
    <t>1.50+ 0.60/2</t>
  </si>
  <si>
    <t>Column upto Grade beam</t>
  </si>
  <si>
    <t>Column upto basement level</t>
  </si>
  <si>
    <t>Grade Beam</t>
  </si>
  <si>
    <t>Alround Grade beam</t>
  </si>
  <si>
    <t>Grade beam Cable Wall</t>
  </si>
  <si>
    <t>1000MT</t>
  </si>
  <si>
    <t>Both side panel wall at bay</t>
  </si>
  <si>
    <t xml:space="preserve">Both side Cable wall </t>
  </si>
  <si>
    <t>Both side panel wall at middle bay</t>
  </si>
  <si>
    <t>Basement filling</t>
  </si>
  <si>
    <t>m2</t>
  </si>
  <si>
    <t>1000MT - Foundation and basement</t>
  </si>
  <si>
    <r>
      <t>M</t>
    </r>
    <r>
      <rPr>
        <b/>
        <vertAlign val="superscript"/>
        <sz val="12"/>
        <rFont val="Cambria"/>
        <family val="1"/>
      </rPr>
      <t>3</t>
    </r>
  </si>
  <si>
    <t>1000MT - Grade Beam</t>
  </si>
  <si>
    <t>1500MT -Grade Beam</t>
  </si>
  <si>
    <t>1000MT -Grade Beam</t>
  </si>
  <si>
    <t>1000MT -Basement Brick Work</t>
  </si>
  <si>
    <t>1500MT -Basement Brick Work</t>
  </si>
  <si>
    <r>
      <t>M</t>
    </r>
    <r>
      <rPr>
        <b/>
        <vertAlign val="superscript"/>
        <sz val="12"/>
        <rFont val="Cambria"/>
        <family val="1"/>
      </rPr>
      <t>2</t>
    </r>
  </si>
  <si>
    <t>Mbook</t>
  </si>
  <si>
    <t>6981ACE/1</t>
  </si>
  <si>
    <t>ID001</t>
  </si>
  <si>
    <t>ID002</t>
  </si>
  <si>
    <t>ID007</t>
  </si>
  <si>
    <t>ID014</t>
  </si>
  <si>
    <t>ID011</t>
  </si>
  <si>
    <t>ID013</t>
  </si>
  <si>
    <t>ID030</t>
  </si>
  <si>
    <t>ID008</t>
  </si>
  <si>
    <t>ID003</t>
  </si>
  <si>
    <t>ID005</t>
  </si>
  <si>
    <t>ID004</t>
  </si>
  <si>
    <t>A</t>
  </si>
  <si>
    <t>C</t>
  </si>
  <si>
    <t>E</t>
  </si>
  <si>
    <t>F</t>
  </si>
  <si>
    <t>G</t>
  </si>
  <si>
    <t>H</t>
  </si>
  <si>
    <t>Clearing Scrub Jungle as Directed by the Departmental Officers ​</t>
  </si>
  <si>
    <t>Earth Work Excavation for Foundation ​</t>
  </si>
  <si>
    <t>Cement Concrete 1:5:10 for Foundation ​</t>
  </si>
  <si>
    <t>Supplying MS/RTS Grills for Reinforcement ​</t>
  </si>
  <si>
    <t>Providing Form Work for Column Footing, Plinth Beam ​</t>
  </si>
  <si>
    <t>Form Work for Column, Ratguard Slab ​</t>
  </si>
  <si>
    <t>RCC 1:1.5:3 in Foundation and Basement ​</t>
  </si>
  <si>
    <t>Brick Work in Cement Mortar 1:5 ​</t>
  </si>
  <si>
    <t>Refilling with Excavated Earth in Basement ​</t>
  </si>
  <si>
    <t>Refilling with Conveyed Earth to a Lead of 10km ​</t>
  </si>
  <si>
    <t>Supplying and Filling in Foundation with Gravel ​</t>
  </si>
  <si>
    <r>
      <t>M</t>
    </r>
    <r>
      <rPr>
        <b/>
        <vertAlign val="superscript"/>
        <sz val="12"/>
        <color rgb="FFC00000"/>
        <rFont val="Cambria"/>
        <family val="1"/>
      </rPr>
      <t>3</t>
    </r>
  </si>
  <si>
    <t>Code</t>
  </si>
  <si>
    <t>Length</t>
  </si>
  <si>
    <t>Breadth</t>
  </si>
  <si>
    <t>Depth</t>
  </si>
  <si>
    <t>Quantity</t>
  </si>
  <si>
    <t>DAY-1</t>
  </si>
  <si>
    <t>DAY-2</t>
  </si>
  <si>
    <t>DAY-3</t>
  </si>
  <si>
    <t>DAY-4</t>
  </si>
  <si>
    <t>DAY-5</t>
  </si>
  <si>
    <t>DAY-6</t>
  </si>
  <si>
    <t>DAY-7</t>
  </si>
  <si>
    <t>DAY-8</t>
  </si>
  <si>
    <t>DAY-9</t>
  </si>
  <si>
    <t>DAY-10</t>
  </si>
  <si>
    <t>Nos1</t>
  </si>
  <si>
    <t>Nos2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</si>
</sst>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 * #,##0.00_ ;_ * \-#,##0.00_ ;_ * &quot;-&quot;??_ ;_ @_ "/>
    <numFmt numFmtId="165" formatCode="&quot;SET- &quot;\ 0"/>
    <numFmt numFmtId="166" formatCode="0.00_)"/>
    <numFmt numFmtId="167" formatCode="0_)"/>
    <numFmt numFmtId="168" formatCode="&quot;DAY - &quot;\ 0"/>
    <numFmt numFmtId="169" formatCode="&quot;£&quot;#,##0.00;\-&quot;£&quot;#,##0.00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b/>
      <sz val="12"/>
      <name val="Cambria"/>
      <family val="1"/>
    </font>
    <font>
      <sz val="12"/>
      <name val="Cambria"/>
      <family val="1"/>
    </font>
    <font>
      <b/>
      <vertAlign val="superscript"/>
      <sz val="12"/>
      <name val="Cambria"/>
      <family val="1"/>
    </font>
    <font>
      <sz val="10"/>
      <name val="Arial"/>
      <family val="2"/>
    </font>
    <font>
      <sz val="10"/>
      <color rgb="FF000000"/>
      <name val="Times New Roman"/>
      <family val="1"/>
    </font>
    <font>
      <sz val="11"/>
      <color indexed="8"/>
      <name val="Calibri"/>
      <family val="2"/>
    </font>
    <font>
      <sz val="12"/>
      <name val="Arial"/>
      <family val="2"/>
    </font>
    <font>
      <sz val="12"/>
      <color theme="1"/>
      <name val="Cambria"/>
      <family val="1"/>
    </font>
    <font>
      <b/>
      <sz val="12"/>
      <color theme="1"/>
      <name val="Cambria"/>
      <family val="1"/>
    </font>
    <font>
      <b/>
      <sz val="12"/>
      <color rgb="FF000000"/>
      <name val="Cambria"/>
      <family val="1"/>
    </font>
    <font>
      <sz val="11"/>
      <color rgb="FF00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C00000"/>
      <name val="Cambria"/>
      <family val="1"/>
    </font>
    <font>
      <b/>
      <vertAlign val="superscript"/>
      <sz val="12"/>
      <color rgb="FFC00000"/>
      <name val="Cambria"/>
      <family val="1"/>
    </font>
    <font>
      <b/>
      <u/>
      <sz val="12"/>
      <color rgb="FFC00000"/>
      <name val="Cambria"/>
      <family val="1"/>
    </font>
    <font>
      <b/>
      <sz val="12"/>
      <color rgb="FFC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4">
    <xf numFmtId="0" fontId="0" fillId="0" borderId="0"/>
    <xf numFmtId="164" fontId="1" fillId="0" borderId="0" applyFont="0" applyFill="0" applyBorder="0" applyAlignment="0" applyProtection="0"/>
    <xf numFmtId="0" fontId="3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7" fillId="0" borderId="0"/>
    <xf numFmtId="164" fontId="8" fillId="0" borderId="0" applyFont="0" applyFill="0" applyBorder="0" applyAlignment="0" applyProtection="0"/>
    <xf numFmtId="0" fontId="8" fillId="0" borderId="0"/>
    <xf numFmtId="9" fontId="8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0" fontId="7" fillId="0" borderId="0"/>
    <xf numFmtId="0" fontId="7" fillId="0" borderId="0"/>
    <xf numFmtId="0" fontId="1" fillId="0" borderId="0"/>
    <xf numFmtId="0" fontId="1" fillId="0" borderId="0"/>
    <xf numFmtId="9" fontId="9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0" fillId="0" borderId="0"/>
    <xf numFmtId="0" fontId="10" fillId="0" borderId="0"/>
    <xf numFmtId="0" fontId="1" fillId="0" borderId="0"/>
    <xf numFmtId="0" fontId="10" fillId="0" borderId="0"/>
    <xf numFmtId="0" fontId="7" fillId="0" borderId="0"/>
    <xf numFmtId="0" fontId="14" fillId="0" borderId="0"/>
    <xf numFmtId="169" fontId="10" fillId="0" borderId="0"/>
  </cellStyleXfs>
  <cellXfs count="67">
    <xf numFmtId="0" fontId="0" fillId="0" borderId="0" xfId="0"/>
    <xf numFmtId="164" fontId="5" fillId="0" borderId="1" xfId="1" applyFont="1" applyBorder="1" applyAlignment="1">
      <alignment vertical="center"/>
    </xf>
    <xf numFmtId="166" fontId="4" fillId="0" borderId="1" xfId="27" applyNumberFormat="1" applyFont="1" applyBorder="1" applyAlignment="1">
      <alignment horizontal="center" vertical="center"/>
    </xf>
    <xf numFmtId="167" fontId="5" fillId="0" borderId="1" xfId="27" applyNumberFormat="1" applyFont="1" applyBorder="1" applyAlignment="1">
      <alignment horizontal="center" vertical="center"/>
    </xf>
    <xf numFmtId="166" fontId="5" fillId="0" borderId="1" xfId="27" applyNumberFormat="1" applyFont="1" applyBorder="1" applyAlignment="1">
      <alignment horizontal="center" vertical="center"/>
    </xf>
    <xf numFmtId="166" fontId="5" fillId="0" borderId="1" xfId="27" applyNumberFormat="1" applyFont="1" applyBorder="1" applyAlignment="1">
      <alignment horizontal="center" vertical="center" wrapText="1"/>
    </xf>
    <xf numFmtId="166" fontId="5" fillId="0" borderId="1" xfId="27" applyNumberFormat="1" applyFont="1" applyBorder="1" applyAlignment="1">
      <alignment horizontal="left"/>
    </xf>
    <xf numFmtId="166" fontId="4" fillId="0" borderId="1" xfId="27" applyNumberFormat="1" applyFont="1" applyBorder="1" applyAlignment="1">
      <alignment horizontal="left"/>
    </xf>
    <xf numFmtId="166" fontId="4" fillId="0" borderId="1" xfId="27" applyNumberFormat="1" applyFont="1" applyBorder="1" applyAlignment="1">
      <alignment horizontal="right"/>
    </xf>
    <xf numFmtId="164" fontId="5" fillId="0" borderId="1" xfId="1" applyFont="1" applyBorder="1" applyAlignment="1">
      <alignment horizontal="center"/>
    </xf>
    <xf numFmtId="164" fontId="5" fillId="0" borderId="1" xfId="1" applyFont="1" applyFill="1" applyBorder="1" applyAlignment="1">
      <alignment horizontal="center" vertical="center"/>
    </xf>
    <xf numFmtId="164" fontId="5" fillId="0" borderId="1" xfId="1" applyFont="1" applyFill="1" applyBorder="1" applyAlignment="1" applyProtection="1">
      <alignment horizontal="center" vertical="center"/>
    </xf>
    <xf numFmtId="164" fontId="5" fillId="0" borderId="1" xfId="1" applyFont="1" applyFill="1" applyBorder="1" applyAlignment="1">
      <alignment horizontal="center" vertical="center" wrapText="1"/>
    </xf>
    <xf numFmtId="164" fontId="4" fillId="0" borderId="1" xfId="1" applyFont="1" applyFill="1" applyBorder="1" applyAlignment="1" applyProtection="1">
      <alignment horizontal="center" vertical="center"/>
    </xf>
    <xf numFmtId="164" fontId="5" fillId="0" borderId="1" xfId="1" applyFont="1" applyBorder="1"/>
    <xf numFmtId="164" fontId="4" fillId="0" borderId="1" xfId="1" applyFont="1" applyBorder="1"/>
    <xf numFmtId="165" fontId="11" fillId="0" borderId="1" xfId="0" applyNumberFormat="1" applyFont="1" applyBorder="1" applyAlignment="1">
      <alignment horizontal="center" vertical="center"/>
    </xf>
    <xf numFmtId="168" fontId="12" fillId="2" borderId="1" xfId="0" applyNumberFormat="1" applyFont="1" applyFill="1" applyBorder="1" applyAlignment="1">
      <alignment horizontal="center" vertical="center"/>
    </xf>
    <xf numFmtId="166" fontId="4" fillId="0" borderId="1" xfId="28" applyNumberFormat="1" applyFont="1" applyBorder="1" applyAlignment="1">
      <alignment horizontal="right"/>
    </xf>
    <xf numFmtId="167" fontId="4" fillId="0" borderId="1" xfId="27" applyNumberFormat="1" applyFont="1" applyBorder="1" applyAlignment="1">
      <alignment horizontal="center" vertical="center"/>
    </xf>
    <xf numFmtId="164" fontId="5" fillId="0" borderId="1" xfId="1" applyFont="1" applyFill="1" applyBorder="1" applyAlignment="1" applyProtection="1">
      <alignment horizontal="center" vertical="center" wrapText="1"/>
    </xf>
    <xf numFmtId="164" fontId="5" fillId="0" borderId="1" xfId="1" applyFont="1" applyBorder="1" applyAlignment="1">
      <alignment wrapText="1"/>
    </xf>
    <xf numFmtId="0" fontId="0" fillId="0" borderId="1" xfId="0" applyBorder="1"/>
    <xf numFmtId="0" fontId="2" fillId="0" borderId="0" xfId="0" applyFont="1"/>
    <xf numFmtId="164" fontId="4" fillId="0" borderId="1" xfId="1" applyFont="1" applyBorder="1" applyAlignment="1">
      <alignment horizontal="center"/>
    </xf>
    <xf numFmtId="0" fontId="2" fillId="0" borderId="1" xfId="0" applyFont="1" applyBorder="1"/>
    <xf numFmtId="0" fontId="0" fillId="0" borderId="0" xfId="0" quotePrefix="1"/>
    <xf numFmtId="164" fontId="4" fillId="0" borderId="1" xfId="1" applyFont="1" applyBorder="1" applyAlignment="1">
      <alignment horizontal="right" vertical="center"/>
    </xf>
    <xf numFmtId="168" fontId="12" fillId="2" borderId="1" xfId="0" applyNumberFormat="1" applyFont="1" applyFill="1" applyBorder="1" applyAlignment="1">
      <alignment horizontal="right" vertical="center"/>
    </xf>
    <xf numFmtId="164" fontId="5" fillId="0" borderId="1" xfId="1" applyFont="1" applyFill="1" applyBorder="1" applyAlignment="1">
      <alignment horizontal="right" vertical="center"/>
    </xf>
    <xf numFmtId="164" fontId="4" fillId="0" borderId="1" xfId="1" applyFont="1" applyFill="1" applyBorder="1" applyAlignment="1">
      <alignment horizontal="right" vertical="center"/>
    </xf>
    <xf numFmtId="164" fontId="4" fillId="0" borderId="1" xfId="1" applyFont="1" applyFill="1" applyBorder="1" applyAlignment="1" applyProtection="1">
      <alignment horizontal="right" vertical="center"/>
    </xf>
    <xf numFmtId="0" fontId="0" fillId="0" borderId="1" xfId="0" applyBorder="1" applyAlignment="1">
      <alignment horizontal="right"/>
    </xf>
    <xf numFmtId="164" fontId="4" fillId="0" borderId="1" xfId="1" applyFont="1" applyBorder="1" applyAlignment="1">
      <alignment horizontal="right"/>
    </xf>
    <xf numFmtId="164" fontId="5" fillId="0" borderId="1" xfId="1" applyFont="1" applyFill="1" applyBorder="1" applyAlignment="1" applyProtection="1">
      <alignment horizontal="right" vertical="center"/>
    </xf>
    <xf numFmtId="164" fontId="4" fillId="0" borderId="1" xfId="1" applyFont="1" applyFill="1" applyBorder="1" applyAlignment="1">
      <alignment horizontal="right" vertical="center" wrapText="1"/>
    </xf>
    <xf numFmtId="0" fontId="0" fillId="0" borderId="0" xfId="0" applyAlignment="1">
      <alignment horizontal="right"/>
    </xf>
    <xf numFmtId="0" fontId="0" fillId="2" borderId="1" xfId="0" applyFill="1" applyBorder="1"/>
    <xf numFmtId="164" fontId="0" fillId="0" borderId="1" xfId="0" applyNumberFormat="1" applyBorder="1"/>
    <xf numFmtId="0" fontId="13" fillId="3" borderId="1" xfId="0" applyFont="1" applyFill="1" applyBorder="1" applyAlignment="1">
      <alignment horizontal="center" vertical="center"/>
    </xf>
    <xf numFmtId="164" fontId="4" fillId="3" borderId="1" xfId="1" applyFont="1" applyFill="1" applyBorder="1" applyAlignment="1">
      <alignment horizontal="center" vertical="center"/>
    </xf>
    <xf numFmtId="164" fontId="4" fillId="3" borderId="1" xfId="1" applyFont="1" applyFill="1" applyBorder="1" applyAlignment="1">
      <alignment horizontal="right" vertical="center"/>
    </xf>
    <xf numFmtId="0" fontId="4" fillId="0" borderId="1" xfId="1" applyNumberFormat="1" applyFont="1" applyFill="1" applyBorder="1" applyAlignment="1">
      <alignment horizontal="center" vertical="top"/>
    </xf>
    <xf numFmtId="0" fontId="13" fillId="3" borderId="1" xfId="1" applyNumberFormat="1" applyFont="1" applyFill="1" applyBorder="1" applyAlignment="1">
      <alignment horizontal="center" vertical="top"/>
    </xf>
    <xf numFmtId="0" fontId="12" fillId="2" borderId="1" xfId="0" applyFont="1" applyFill="1" applyBorder="1" applyAlignment="1">
      <alignment horizontal="center" vertical="center"/>
    </xf>
    <xf numFmtId="0" fontId="4" fillId="0" borderId="1" xfId="1" applyNumberFormat="1" applyFont="1" applyFill="1" applyBorder="1" applyAlignment="1" applyProtection="1">
      <alignment horizontal="center" vertical="top"/>
    </xf>
    <xf numFmtId="0" fontId="4" fillId="0" borderId="1" xfId="27" applyFont="1" applyBorder="1" applyAlignment="1">
      <alignment horizontal="center" vertical="top"/>
    </xf>
    <xf numFmtId="0" fontId="4" fillId="0" borderId="1" xfId="27" applyFont="1" applyBorder="1" applyAlignment="1">
      <alignment horizontal="center" vertical="center"/>
    </xf>
    <xf numFmtId="0" fontId="15" fillId="0" borderId="1" xfId="0" applyFont="1" applyBorder="1" applyAlignment="1">
      <alignment horizontal="center"/>
    </xf>
    <xf numFmtId="0" fontId="4" fillId="0" borderId="1" xfId="1" applyNumberFormat="1" applyFont="1" applyBorder="1" applyAlignment="1">
      <alignment horizontal="center" vertical="top"/>
    </xf>
    <xf numFmtId="0" fontId="15" fillId="0" borderId="0" xfId="0" applyFont="1" applyAlignment="1">
      <alignment horizontal="center"/>
    </xf>
    <xf numFmtId="0" fontId="0" fillId="2" borderId="0" xfId="0" applyFill="1"/>
    <xf numFmtId="166" fontId="5" fillId="0" borderId="1" xfId="27" applyNumberFormat="1" applyFont="1" applyBorder="1" applyAlignment="1">
      <alignment vertical="center" readingOrder="1"/>
    </xf>
    <xf numFmtId="166" fontId="5" fillId="0" borderId="1" xfId="27" applyNumberFormat="1" applyFont="1" applyBorder="1"/>
    <xf numFmtId="0" fontId="16" fillId="0" borderId="1" xfId="1" applyNumberFormat="1" applyFont="1" applyFill="1" applyBorder="1" applyAlignment="1" applyProtection="1">
      <alignment horizontal="center" vertical="top"/>
    </xf>
    <xf numFmtId="166" fontId="16" fillId="0" borderId="1" xfId="27" applyNumberFormat="1" applyFont="1" applyBorder="1" applyAlignment="1">
      <alignment horizontal="left" vertical="center"/>
    </xf>
    <xf numFmtId="166" fontId="16" fillId="0" borderId="1" xfId="27" applyNumberFormat="1" applyFont="1" applyBorder="1" applyAlignment="1">
      <alignment horizontal="right" vertical="center"/>
    </xf>
    <xf numFmtId="166" fontId="16" fillId="0" borderId="1" xfId="27" applyNumberFormat="1" applyFont="1" applyBorder="1" applyAlignment="1">
      <alignment horizontal="center" vertical="center"/>
    </xf>
    <xf numFmtId="0" fontId="16" fillId="0" borderId="1" xfId="1" applyNumberFormat="1" applyFont="1" applyFill="1" applyBorder="1" applyAlignment="1">
      <alignment horizontal="center" vertical="top"/>
    </xf>
    <xf numFmtId="166" fontId="16" fillId="0" borderId="1" xfId="27" applyNumberFormat="1" applyFont="1" applyBorder="1" applyAlignment="1">
      <alignment horizontal="left" vertical="top" wrapText="1"/>
    </xf>
    <xf numFmtId="164" fontId="16" fillId="0" borderId="1" xfId="1" applyFont="1" applyBorder="1" applyAlignment="1">
      <alignment horizontal="right" vertical="center"/>
    </xf>
    <xf numFmtId="0" fontId="16" fillId="0" borderId="1" xfId="0" applyFont="1" applyBorder="1" applyAlignment="1">
      <alignment horizontal="center" vertical="center" wrapText="1"/>
    </xf>
    <xf numFmtId="166" fontId="18" fillId="0" borderId="1" xfId="27" applyNumberFormat="1" applyFont="1" applyBorder="1" applyAlignment="1">
      <alignment horizontal="left"/>
    </xf>
    <xf numFmtId="0" fontId="16" fillId="0" borderId="1" xfId="29" applyFont="1" applyBorder="1" applyAlignment="1">
      <alignment horizontal="left" vertical="top" wrapText="1"/>
    </xf>
    <xf numFmtId="0" fontId="16" fillId="0" borderId="1" xfId="0" applyFont="1" applyBorder="1" applyAlignment="1">
      <alignment horizontal="left" vertical="center"/>
    </xf>
    <xf numFmtId="0" fontId="19" fillId="0" borderId="1" xfId="0" applyFont="1" applyBorder="1"/>
    <xf numFmtId="0" fontId="19" fillId="0" borderId="0" xfId="0" applyFont="1"/>
  </cellXfs>
  <cellStyles count="34">
    <cellStyle name="Comma" xfId="1" builtinId="3"/>
    <cellStyle name="Comma 13" xfId="15" xr:uid="{06790FB2-30B6-42AA-9000-9C1F75BF5EEA}"/>
    <cellStyle name="Comma 17 2" xfId="16" xr:uid="{D2DB0EB4-37BF-4574-9C62-15863941BA01}"/>
    <cellStyle name="Comma 2" xfId="4" xr:uid="{210A1943-E92A-4694-9039-0DA4CF032815}"/>
    <cellStyle name="Comma 2 2 14" xfId="17" xr:uid="{CBF574A6-6467-4023-A04C-189D2CF71835}"/>
    <cellStyle name="Comma 3" xfId="9" xr:uid="{9E0EB086-3107-41B1-A093-5F3DC5BE7808}"/>
    <cellStyle name="Comma 4" xfId="6" xr:uid="{43DA58A7-10A3-4D99-A0BD-4BE59679D6C4}"/>
    <cellStyle name="Comma 4 3" xfId="18" xr:uid="{7744C400-5B9B-4D48-BF16-AA39D788DC74}"/>
    <cellStyle name="Comma 5" xfId="12" xr:uid="{B84562C1-9384-4D37-86BF-07C3B571DEE9}"/>
    <cellStyle name="Normal" xfId="0" builtinId="0"/>
    <cellStyle name="Normal - Style1" xfId="11" xr:uid="{3B0DF69F-9A4C-4A40-A9D0-2BF9915993EB}"/>
    <cellStyle name="Normal 13 3 2" xfId="29" xr:uid="{A1EC304C-08A8-4E1A-8B8B-29BD6EDD3EF7}"/>
    <cellStyle name="Normal 2" xfId="13" xr:uid="{AAE99E8D-7E4D-4498-AEF2-69F6BC2CE207}"/>
    <cellStyle name="Normal 2 2 2 12" xfId="19" xr:uid="{4FF025FF-E746-41F4-A3E3-75855D2E39EC}"/>
    <cellStyle name="Normal 2 3" xfId="10" xr:uid="{E46F23B6-BFE7-4048-A341-A800D66289E3}"/>
    <cellStyle name="Normal 25" xfId="28" xr:uid="{9D050E85-C5D8-467A-9D87-146C1F4BF2E1}"/>
    <cellStyle name="Normal 3" xfId="3" xr:uid="{9FCB9160-7889-4894-97A8-C5CFF16CBDCF}"/>
    <cellStyle name="Normal 4" xfId="8" xr:uid="{487D5385-0423-468F-ABFA-D80743D5D95D}"/>
    <cellStyle name="Normal 4 2 25" xfId="27" xr:uid="{E3E975BE-279F-4F04-9D48-CD4B93ACAE14}"/>
    <cellStyle name="Normal 4 2 25 2" xfId="30" xr:uid="{B3FFB1E3-0E4A-4A7C-B131-56DCA70BEFDA}"/>
    <cellStyle name="Normal 4 2 3" xfId="20" xr:uid="{FCAEE0A3-CC8A-4B41-ABD5-5AED4F05C1B5}"/>
    <cellStyle name="Normal 5" xfId="5" xr:uid="{BB7BF6AB-1D3F-4FAF-947D-F61917E83F36}"/>
    <cellStyle name="Normal 6" xfId="33" xr:uid="{49E05CC2-B334-41D6-A4AB-BB6A450E0C49}"/>
    <cellStyle name="Normal 62 2" xfId="31" xr:uid="{D9C17EFD-DE37-41BF-BB8B-227738E85BF3}"/>
    <cellStyle name="Normal 62 2 2" xfId="32" xr:uid="{D45AC83A-FAC1-4B36-B1AA-0AF44CF8A8E8}"/>
    <cellStyle name="Normal 8 4" xfId="2" xr:uid="{F38DDD4C-7A11-463A-B1C6-4EB55100731E}"/>
    <cellStyle name="Normal 9" xfId="21" xr:uid="{52E250D6-66C9-49A1-8C78-31DCC60F6531}"/>
    <cellStyle name="Normal 9 2" xfId="22" xr:uid="{9B9DC0F2-11F2-4393-82B5-22B0B99B2E41}"/>
    <cellStyle name="Percent 2" xfId="7" xr:uid="{089FAB0F-D3E7-4F21-A7AD-0D246F2AD209}"/>
    <cellStyle name="Percent 2 2" xfId="23" xr:uid="{2188B634-2E24-4811-8A38-FB4E0C876A36}"/>
    <cellStyle name="Percent 2 2 2" xfId="24" xr:uid="{459E3993-371E-4014-86DE-603A379401AB}"/>
    <cellStyle name="Percent 3" xfId="14" xr:uid="{59A72F83-D5C7-4A8B-934D-5D6ED11FE9B1}"/>
    <cellStyle name="Percent 5" xfId="25" xr:uid="{110EF6DE-4E2D-4066-8C1A-62B630380041}"/>
    <cellStyle name="Percent 5 2" xfId="26" xr:uid="{CE479367-42F2-4BCE-AA9D-3BC5794820F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BCD524-2FBD-4289-BA30-54AE5E428F32}">
  <dimension ref="A1:N167"/>
  <sheetViews>
    <sheetView tabSelected="1" zoomScale="83" zoomScaleNormal="40" workbookViewId="0">
      <selection activeCell="I7" sqref="I7"/>
    </sheetView>
  </sheetViews>
  <sheetFormatPr baseColWidth="10" defaultColWidth="8.83203125" defaultRowHeight="16" x14ac:dyDescent="0.2"/>
  <cols>
    <col min="1" max="1" width="12.6640625" style="50" customWidth="1"/>
    <col min="2" max="2" width="56.83203125" customWidth="1"/>
    <col min="9" max="9" width="20.33203125" style="36" customWidth="1"/>
    <col min="11" max="11" width="12.6640625" customWidth="1"/>
  </cols>
  <sheetData>
    <row r="1" spans="1:14" x14ac:dyDescent="0.2">
      <c r="A1" s="43" t="s">
        <v>87</v>
      </c>
      <c r="B1" s="39" t="s">
        <v>0</v>
      </c>
      <c r="C1" s="40" t="s">
        <v>102</v>
      </c>
      <c r="D1" s="40" t="s">
        <v>7</v>
      </c>
      <c r="E1" s="40" t="s">
        <v>103</v>
      </c>
      <c r="F1" s="40" t="s">
        <v>88</v>
      </c>
      <c r="G1" s="40" t="s">
        <v>89</v>
      </c>
      <c r="H1" s="40" t="s">
        <v>90</v>
      </c>
      <c r="I1" s="41" t="s">
        <v>91</v>
      </c>
      <c r="J1" s="40" t="s">
        <v>3</v>
      </c>
      <c r="K1" s="40" t="s">
        <v>56</v>
      </c>
    </row>
    <row r="2" spans="1:14" x14ac:dyDescent="0.2">
      <c r="A2" s="44" t="s">
        <v>92</v>
      </c>
      <c r="B2" s="51"/>
      <c r="C2" s="17"/>
      <c r="D2" s="17"/>
      <c r="E2" s="17"/>
      <c r="F2" s="17"/>
      <c r="G2" s="17"/>
      <c r="H2" s="17"/>
      <c r="I2" s="28"/>
      <c r="J2" s="17"/>
      <c r="K2" s="37"/>
    </row>
    <row r="3" spans="1:14" s="66" customFormat="1" x14ac:dyDescent="0.2">
      <c r="A3" s="54" t="s">
        <v>58</v>
      </c>
      <c r="B3" s="64" t="s">
        <v>75</v>
      </c>
      <c r="C3" s="55"/>
      <c r="D3" s="55"/>
      <c r="E3" s="55"/>
      <c r="F3" s="55"/>
      <c r="G3" s="55"/>
      <c r="H3" s="55"/>
      <c r="I3" s="56">
        <v>3999.9960000000001</v>
      </c>
      <c r="J3" s="57" t="s">
        <v>47</v>
      </c>
      <c r="K3" s="65" t="s">
        <v>57</v>
      </c>
    </row>
    <row r="4" spans="1:14" ht="20" customHeight="1" x14ac:dyDescent="0.2">
      <c r="A4" s="45" t="s">
        <v>69</v>
      </c>
      <c r="B4" s="52" t="s">
        <v>4</v>
      </c>
      <c r="C4" s="3">
        <v>1</v>
      </c>
      <c r="D4" s="4" t="s">
        <v>7</v>
      </c>
      <c r="E4" s="3">
        <v>1</v>
      </c>
      <c r="F4" s="12">
        <v>60.606000000000002</v>
      </c>
      <c r="G4" s="12">
        <v>66</v>
      </c>
      <c r="H4" s="10"/>
      <c r="I4" s="29">
        <v>3999.9960000000001</v>
      </c>
      <c r="J4" s="4"/>
      <c r="K4" s="22"/>
    </row>
    <row r="5" spans="1:14" x14ac:dyDescent="0.2">
      <c r="A5" s="45"/>
      <c r="B5" s="18"/>
      <c r="C5" s="18"/>
      <c r="D5" s="18"/>
      <c r="E5" s="18"/>
      <c r="F5" s="18"/>
      <c r="G5" s="18"/>
      <c r="H5" s="18"/>
      <c r="I5" s="30"/>
      <c r="J5" s="4"/>
      <c r="K5" s="22"/>
    </row>
    <row r="6" spans="1:14" s="66" customFormat="1" ht="15" customHeight="1" x14ac:dyDescent="0.2">
      <c r="A6" s="58" t="s">
        <v>59</v>
      </c>
      <c r="B6" s="64" t="s">
        <v>76</v>
      </c>
      <c r="C6" s="59"/>
      <c r="D6" s="59"/>
      <c r="E6" s="59"/>
      <c r="F6" s="59"/>
      <c r="G6" s="59"/>
      <c r="H6" s="59"/>
      <c r="I6" s="60">
        <v>567.31719999999996</v>
      </c>
      <c r="J6" s="57" t="s">
        <v>86</v>
      </c>
      <c r="K6" s="65" t="s">
        <v>57</v>
      </c>
    </row>
    <row r="7" spans="1:14" s="23" customFormat="1" ht="19" x14ac:dyDescent="0.2">
      <c r="A7" s="42" t="s">
        <v>69</v>
      </c>
      <c r="B7" s="7" t="s">
        <v>5</v>
      </c>
      <c r="C7" s="7"/>
      <c r="D7" s="7"/>
      <c r="E7" s="7"/>
      <c r="F7" s="7"/>
      <c r="G7" s="7"/>
      <c r="H7" s="7"/>
      <c r="I7" s="31">
        <v>219.58320000000001</v>
      </c>
      <c r="J7" s="2" t="s">
        <v>49</v>
      </c>
      <c r="K7" s="25"/>
    </row>
    <row r="8" spans="1:14" x14ac:dyDescent="0.2">
      <c r="A8" s="42">
        <v>1</v>
      </c>
      <c r="B8" s="6" t="s">
        <v>6</v>
      </c>
      <c r="C8" s="3">
        <v>2</v>
      </c>
      <c r="D8" s="4" t="s">
        <v>7</v>
      </c>
      <c r="E8" s="3">
        <v>10</v>
      </c>
      <c r="F8" s="11">
        <v>1.5</v>
      </c>
      <c r="G8" s="11">
        <v>1.5</v>
      </c>
      <c r="H8" s="14">
        <v>2.5</v>
      </c>
      <c r="I8" s="29">
        <v>112.5</v>
      </c>
      <c r="J8" s="4"/>
      <c r="K8" s="22"/>
    </row>
    <row r="9" spans="1:14" x14ac:dyDescent="0.2">
      <c r="A9" s="42">
        <v>2</v>
      </c>
      <c r="B9" s="6" t="s">
        <v>8</v>
      </c>
      <c r="C9" s="3">
        <v>2</v>
      </c>
      <c r="D9" s="4" t="s">
        <v>7</v>
      </c>
      <c r="E9" s="3">
        <v>2</v>
      </c>
      <c r="F9" s="11">
        <v>1.5</v>
      </c>
      <c r="G9" s="11">
        <v>1.5</v>
      </c>
      <c r="H9" s="14">
        <v>2.5</v>
      </c>
      <c r="I9" s="29">
        <v>22.5</v>
      </c>
      <c r="J9" s="4"/>
      <c r="K9" s="22"/>
    </row>
    <row r="10" spans="1:14" x14ac:dyDescent="0.2">
      <c r="A10" s="42">
        <v>3</v>
      </c>
      <c r="B10" s="6" t="s">
        <v>9</v>
      </c>
      <c r="C10" s="3">
        <v>1</v>
      </c>
      <c r="D10" s="4" t="s">
        <v>7</v>
      </c>
      <c r="E10" s="3">
        <v>4</v>
      </c>
      <c r="F10" s="11">
        <v>1.5</v>
      </c>
      <c r="G10" s="11">
        <v>1.5</v>
      </c>
      <c r="H10" s="14">
        <v>2.5</v>
      </c>
      <c r="I10" s="29">
        <v>22.5</v>
      </c>
      <c r="J10" s="4"/>
      <c r="K10" s="22"/>
    </row>
    <row r="11" spans="1:14" x14ac:dyDescent="0.2">
      <c r="A11" s="42">
        <v>4</v>
      </c>
      <c r="B11" s="6" t="s">
        <v>10</v>
      </c>
      <c r="C11" s="3">
        <v>1</v>
      </c>
      <c r="D11" s="4" t="s">
        <v>7</v>
      </c>
      <c r="E11" s="3">
        <v>1</v>
      </c>
      <c r="F11" s="11">
        <v>113.42</v>
      </c>
      <c r="G11" s="11">
        <v>0.6</v>
      </c>
      <c r="H11" s="11">
        <v>0.8</v>
      </c>
      <c r="I11" s="29">
        <v>54.441599999999994</v>
      </c>
      <c r="J11" s="4"/>
      <c r="K11" s="22"/>
    </row>
    <row r="12" spans="1:14" x14ac:dyDescent="0.2">
      <c r="A12" s="42">
        <v>5</v>
      </c>
      <c r="B12" s="6" t="s">
        <v>11</v>
      </c>
      <c r="C12" s="3">
        <v>1</v>
      </c>
      <c r="D12" s="4" t="s">
        <v>7</v>
      </c>
      <c r="E12" s="3">
        <v>4</v>
      </c>
      <c r="F12" s="11">
        <v>14.48</v>
      </c>
      <c r="G12" s="11">
        <v>0.6</v>
      </c>
      <c r="H12" s="11">
        <v>0.8</v>
      </c>
      <c r="I12" s="29">
        <v>27.801600000000004</v>
      </c>
      <c r="J12" s="4"/>
      <c r="K12" s="22"/>
    </row>
    <row r="13" spans="1:14" x14ac:dyDescent="0.2">
      <c r="A13" s="42">
        <v>6</v>
      </c>
      <c r="B13" s="53" t="s">
        <v>12</v>
      </c>
      <c r="C13" s="3">
        <v>-1</v>
      </c>
      <c r="D13" s="4" t="s">
        <v>7</v>
      </c>
      <c r="E13" s="3">
        <v>20</v>
      </c>
      <c r="F13" s="10">
        <v>1.5</v>
      </c>
      <c r="G13" s="11">
        <v>0.6</v>
      </c>
      <c r="H13" s="10">
        <v>0.8</v>
      </c>
      <c r="I13" s="29">
        <v>-14.4</v>
      </c>
      <c r="J13" s="4"/>
      <c r="K13" s="22"/>
    </row>
    <row r="14" spans="1:14" x14ac:dyDescent="0.2">
      <c r="A14" s="42">
        <v>7</v>
      </c>
      <c r="B14" s="53" t="s">
        <v>13</v>
      </c>
      <c r="C14" s="3">
        <v>-2</v>
      </c>
      <c r="D14" s="4" t="s">
        <v>7</v>
      </c>
      <c r="E14" s="3">
        <v>2</v>
      </c>
      <c r="F14" s="10">
        <v>1.5</v>
      </c>
      <c r="G14" s="11">
        <v>0.6</v>
      </c>
      <c r="H14" s="10">
        <v>0.8</v>
      </c>
      <c r="I14" s="29">
        <v>-2.88</v>
      </c>
      <c r="J14" s="4"/>
      <c r="K14" s="22"/>
    </row>
    <row r="15" spans="1:14" x14ac:dyDescent="0.2">
      <c r="A15" s="42">
        <v>8</v>
      </c>
      <c r="B15" s="53" t="s">
        <v>14</v>
      </c>
      <c r="C15" s="3">
        <v>-1</v>
      </c>
      <c r="D15" s="4" t="s">
        <v>7</v>
      </c>
      <c r="E15" s="3">
        <v>4</v>
      </c>
      <c r="F15" s="10">
        <v>1.5</v>
      </c>
      <c r="G15" s="11">
        <v>0.6</v>
      </c>
      <c r="H15" s="10">
        <v>0.8</v>
      </c>
      <c r="I15" s="29">
        <v>-2.88</v>
      </c>
      <c r="J15" s="4"/>
      <c r="K15" s="22"/>
      <c r="N15" s="26"/>
    </row>
    <row r="16" spans="1:14" x14ac:dyDescent="0.2">
      <c r="A16" s="42"/>
      <c r="B16" s="18"/>
      <c r="C16" s="18"/>
      <c r="D16" s="18"/>
      <c r="E16" s="18"/>
      <c r="F16" s="18"/>
      <c r="G16" s="18"/>
      <c r="H16" s="18"/>
      <c r="I16" s="32"/>
      <c r="J16" s="22"/>
      <c r="K16" s="22"/>
    </row>
    <row r="17" spans="1:11" s="23" customFormat="1" ht="19" x14ac:dyDescent="0.2">
      <c r="A17" s="42" t="s">
        <v>1</v>
      </c>
      <c r="B17" s="7" t="s">
        <v>15</v>
      </c>
      <c r="C17" s="19"/>
      <c r="D17" s="2"/>
      <c r="E17" s="19"/>
      <c r="F17" s="15"/>
      <c r="G17" s="15"/>
      <c r="H17" s="15"/>
      <c r="I17" s="27">
        <v>346.73399999999998</v>
      </c>
      <c r="J17" s="2" t="s">
        <v>49</v>
      </c>
      <c r="K17" s="25"/>
    </row>
    <row r="18" spans="1:11" x14ac:dyDescent="0.2">
      <c r="A18" s="42">
        <v>1</v>
      </c>
      <c r="B18" s="6" t="s">
        <v>6</v>
      </c>
      <c r="C18" s="3">
        <v>2</v>
      </c>
      <c r="D18" s="4" t="s">
        <v>7</v>
      </c>
      <c r="E18" s="3">
        <v>15</v>
      </c>
      <c r="F18" s="14">
        <v>1.5</v>
      </c>
      <c r="G18" s="14">
        <v>1.5</v>
      </c>
      <c r="H18" s="14">
        <v>2.5</v>
      </c>
      <c r="I18" s="29">
        <v>168.75</v>
      </c>
      <c r="J18" s="4"/>
      <c r="K18" s="22"/>
    </row>
    <row r="19" spans="1:11" x14ac:dyDescent="0.2">
      <c r="A19" s="42">
        <v>2</v>
      </c>
      <c r="B19" s="6" t="s">
        <v>8</v>
      </c>
      <c r="C19" s="3">
        <v>2</v>
      </c>
      <c r="D19" s="4" t="s">
        <v>7</v>
      </c>
      <c r="E19" s="3">
        <v>2</v>
      </c>
      <c r="F19" s="14">
        <v>1.5</v>
      </c>
      <c r="G19" s="14">
        <v>1.5</v>
      </c>
      <c r="H19" s="14">
        <v>2.5</v>
      </c>
      <c r="I19" s="29">
        <v>22.5</v>
      </c>
      <c r="J19" s="4"/>
      <c r="K19" s="22"/>
    </row>
    <row r="20" spans="1:11" x14ac:dyDescent="0.2">
      <c r="A20" s="42">
        <v>3</v>
      </c>
      <c r="B20" s="6" t="s">
        <v>9</v>
      </c>
      <c r="C20" s="3">
        <v>1</v>
      </c>
      <c r="D20" s="4" t="s">
        <v>7</v>
      </c>
      <c r="E20" s="3">
        <v>12</v>
      </c>
      <c r="F20" s="14">
        <v>1.5</v>
      </c>
      <c r="G20" s="14">
        <v>1.5</v>
      </c>
      <c r="H20" s="14">
        <v>2.5</v>
      </c>
      <c r="I20" s="29">
        <v>67.5</v>
      </c>
      <c r="J20" s="4"/>
      <c r="K20" s="22"/>
    </row>
    <row r="21" spans="1:11" x14ac:dyDescent="0.2">
      <c r="A21" s="42">
        <v>4</v>
      </c>
      <c r="B21" s="6" t="s">
        <v>10</v>
      </c>
      <c r="C21" s="3">
        <v>1</v>
      </c>
      <c r="D21" s="4" t="s">
        <v>7</v>
      </c>
      <c r="E21" s="3">
        <v>1</v>
      </c>
      <c r="F21" s="14">
        <v>156.41999999999999</v>
      </c>
      <c r="G21" s="14">
        <v>0.6</v>
      </c>
      <c r="H21" s="14">
        <v>0.8</v>
      </c>
      <c r="I21" s="29">
        <v>75.081599999999995</v>
      </c>
      <c r="J21" s="4"/>
      <c r="K21" s="22"/>
    </row>
    <row r="22" spans="1:11" x14ac:dyDescent="0.2">
      <c r="A22" s="42">
        <v>5</v>
      </c>
      <c r="B22" s="6" t="s">
        <v>11</v>
      </c>
      <c r="C22" s="3">
        <v>1</v>
      </c>
      <c r="D22" s="4" t="s">
        <v>7</v>
      </c>
      <c r="E22" s="3">
        <v>6</v>
      </c>
      <c r="F22" s="14">
        <v>14.48</v>
      </c>
      <c r="G22" s="14">
        <v>0.6</v>
      </c>
      <c r="H22" s="14">
        <v>0.8</v>
      </c>
      <c r="I22" s="29">
        <v>41.702399999999997</v>
      </c>
      <c r="J22" s="4"/>
      <c r="K22" s="22"/>
    </row>
    <row r="23" spans="1:11" x14ac:dyDescent="0.2">
      <c r="A23" s="42">
        <v>6</v>
      </c>
      <c r="B23" s="53" t="s">
        <v>12</v>
      </c>
      <c r="C23" s="3">
        <v>-1</v>
      </c>
      <c r="D23" s="4" t="s">
        <v>7</v>
      </c>
      <c r="E23" s="3">
        <v>30</v>
      </c>
      <c r="F23" s="14">
        <v>1.5</v>
      </c>
      <c r="G23" s="14">
        <v>0.6</v>
      </c>
      <c r="H23" s="14">
        <v>0.8</v>
      </c>
      <c r="I23" s="29">
        <v>-21.6</v>
      </c>
      <c r="J23" s="4"/>
      <c r="K23" s="22"/>
    </row>
    <row r="24" spans="1:11" x14ac:dyDescent="0.2">
      <c r="A24" s="42">
        <v>7</v>
      </c>
      <c r="B24" s="53" t="s">
        <v>13</v>
      </c>
      <c r="C24" s="3">
        <v>-2</v>
      </c>
      <c r="D24" s="4" t="s">
        <v>7</v>
      </c>
      <c r="E24" s="3">
        <v>2</v>
      </c>
      <c r="F24" s="14">
        <v>1.5</v>
      </c>
      <c r="G24" s="14">
        <v>0.6</v>
      </c>
      <c r="H24" s="14">
        <v>0.8</v>
      </c>
      <c r="I24" s="29">
        <v>-2.88</v>
      </c>
      <c r="J24" s="4"/>
      <c r="K24" s="22"/>
    </row>
    <row r="25" spans="1:11" x14ac:dyDescent="0.2">
      <c r="A25" s="42">
        <v>8</v>
      </c>
      <c r="B25" s="53" t="s">
        <v>16</v>
      </c>
      <c r="C25" s="3">
        <v>-1</v>
      </c>
      <c r="D25" s="4" t="s">
        <v>7</v>
      </c>
      <c r="E25" s="3">
        <v>6</v>
      </c>
      <c r="F25" s="14">
        <v>1.5</v>
      </c>
      <c r="G25" s="14">
        <v>0.6</v>
      </c>
      <c r="H25" s="14">
        <v>0.8</v>
      </c>
      <c r="I25" s="29">
        <v>-4.3199999999999994</v>
      </c>
      <c r="J25" s="4"/>
      <c r="K25" s="22"/>
    </row>
    <row r="26" spans="1:11" x14ac:dyDescent="0.2">
      <c r="A26" s="44" t="s">
        <v>93</v>
      </c>
      <c r="B26" s="51"/>
      <c r="C26" s="17"/>
      <c r="D26" s="17"/>
      <c r="E26" s="17"/>
      <c r="F26" s="17"/>
      <c r="G26" s="17"/>
      <c r="H26" s="17"/>
      <c r="I26" s="28"/>
      <c r="J26" s="17"/>
      <c r="K26" s="37"/>
    </row>
    <row r="27" spans="1:11" s="66" customFormat="1" ht="15" customHeight="1" x14ac:dyDescent="0.2">
      <c r="A27" s="61" t="s">
        <v>60</v>
      </c>
      <c r="B27" s="64" t="s">
        <v>77</v>
      </c>
      <c r="C27" s="59"/>
      <c r="D27" s="59"/>
      <c r="E27" s="59"/>
      <c r="F27" s="59"/>
      <c r="G27" s="59"/>
      <c r="H27" s="59"/>
      <c r="I27" s="60">
        <v>16.650000000000002</v>
      </c>
      <c r="J27" s="57" t="s">
        <v>86</v>
      </c>
      <c r="K27" s="65" t="s">
        <v>57</v>
      </c>
    </row>
    <row r="28" spans="1:11" s="23" customFormat="1" ht="19" x14ac:dyDescent="0.2">
      <c r="A28" s="42" t="s">
        <v>69</v>
      </c>
      <c r="B28" s="7" t="s">
        <v>5</v>
      </c>
      <c r="C28" s="7"/>
      <c r="D28" s="7"/>
      <c r="E28" s="7"/>
      <c r="F28" s="7"/>
      <c r="G28" s="7"/>
      <c r="H28" s="7"/>
      <c r="I28" s="31">
        <v>6.3000000000000007</v>
      </c>
      <c r="J28" s="2" t="s">
        <v>49</v>
      </c>
      <c r="K28" s="25"/>
    </row>
    <row r="29" spans="1:11" x14ac:dyDescent="0.2">
      <c r="A29" s="42">
        <v>1</v>
      </c>
      <c r="B29" s="6" t="s">
        <v>6</v>
      </c>
      <c r="C29" s="3">
        <v>2</v>
      </c>
      <c r="D29" s="4" t="s">
        <v>7</v>
      </c>
      <c r="E29" s="3">
        <v>10</v>
      </c>
      <c r="F29" s="11">
        <v>1.5</v>
      </c>
      <c r="G29" s="11">
        <v>1.5</v>
      </c>
      <c r="H29" s="11">
        <v>0.1</v>
      </c>
      <c r="I29" s="29">
        <v>4.5</v>
      </c>
      <c r="J29" s="4"/>
      <c r="K29" s="22"/>
    </row>
    <row r="30" spans="1:11" x14ac:dyDescent="0.2">
      <c r="A30" s="42">
        <v>2</v>
      </c>
      <c r="B30" s="6" t="s">
        <v>8</v>
      </c>
      <c r="C30" s="3">
        <v>2</v>
      </c>
      <c r="D30" s="4" t="s">
        <v>7</v>
      </c>
      <c r="E30" s="3">
        <v>2</v>
      </c>
      <c r="F30" s="11">
        <v>1.5</v>
      </c>
      <c r="G30" s="11">
        <v>1.5</v>
      </c>
      <c r="H30" s="11">
        <v>0.1</v>
      </c>
      <c r="I30" s="29">
        <v>0.9</v>
      </c>
      <c r="J30" s="4"/>
      <c r="K30" s="22"/>
    </row>
    <row r="31" spans="1:11" x14ac:dyDescent="0.2">
      <c r="A31" s="42">
        <v>3</v>
      </c>
      <c r="B31" s="6" t="s">
        <v>9</v>
      </c>
      <c r="C31" s="3">
        <v>1</v>
      </c>
      <c r="D31" s="4" t="s">
        <v>7</v>
      </c>
      <c r="E31" s="3">
        <v>4</v>
      </c>
      <c r="F31" s="11">
        <v>1.5</v>
      </c>
      <c r="G31" s="11">
        <v>1.5</v>
      </c>
      <c r="H31" s="11">
        <v>0.1</v>
      </c>
      <c r="I31" s="29">
        <v>0.9</v>
      </c>
      <c r="J31" s="4"/>
      <c r="K31" s="22"/>
    </row>
    <row r="32" spans="1:11" x14ac:dyDescent="0.2">
      <c r="A32" s="42"/>
      <c r="B32" s="18"/>
      <c r="C32" s="18"/>
      <c r="D32" s="18"/>
      <c r="E32" s="18"/>
      <c r="F32" s="18"/>
      <c r="G32" s="18"/>
      <c r="H32" s="18"/>
      <c r="I32" s="32"/>
      <c r="J32" s="22"/>
      <c r="K32" s="22"/>
    </row>
    <row r="33" spans="1:11" s="23" customFormat="1" ht="19" x14ac:dyDescent="0.2">
      <c r="A33" s="42" t="s">
        <v>1</v>
      </c>
      <c r="B33" s="7" t="s">
        <v>15</v>
      </c>
      <c r="C33" s="19"/>
      <c r="D33" s="2"/>
      <c r="E33" s="19"/>
      <c r="F33" s="15"/>
      <c r="G33" s="15"/>
      <c r="H33" s="15"/>
      <c r="I33" s="33">
        <v>10.350000000000001</v>
      </c>
      <c r="J33" s="2" t="s">
        <v>49</v>
      </c>
      <c r="K33" s="25"/>
    </row>
    <row r="34" spans="1:11" x14ac:dyDescent="0.2">
      <c r="A34" s="42">
        <v>1</v>
      </c>
      <c r="B34" s="6" t="s">
        <v>6</v>
      </c>
      <c r="C34" s="3">
        <v>2</v>
      </c>
      <c r="D34" s="4" t="s">
        <v>7</v>
      </c>
      <c r="E34" s="3">
        <v>15</v>
      </c>
      <c r="F34" s="14">
        <v>1.5</v>
      </c>
      <c r="G34" s="14">
        <v>1.5</v>
      </c>
      <c r="H34" s="14">
        <v>0.1</v>
      </c>
      <c r="I34" s="29">
        <v>6.75</v>
      </c>
      <c r="J34" s="4"/>
      <c r="K34" s="22"/>
    </row>
    <row r="35" spans="1:11" x14ac:dyDescent="0.2">
      <c r="A35" s="42">
        <v>2</v>
      </c>
      <c r="B35" s="6" t="s">
        <v>8</v>
      </c>
      <c r="C35" s="3">
        <v>2</v>
      </c>
      <c r="D35" s="4" t="s">
        <v>7</v>
      </c>
      <c r="E35" s="3">
        <v>2</v>
      </c>
      <c r="F35" s="14">
        <v>1.5</v>
      </c>
      <c r="G35" s="14">
        <v>1.5</v>
      </c>
      <c r="H35" s="14">
        <v>0.1</v>
      </c>
      <c r="I35" s="29">
        <v>0.9</v>
      </c>
      <c r="J35" s="4"/>
      <c r="K35" s="22"/>
    </row>
    <row r="36" spans="1:11" x14ac:dyDescent="0.2">
      <c r="A36" s="42">
        <v>3</v>
      </c>
      <c r="B36" s="6" t="s">
        <v>17</v>
      </c>
      <c r="C36" s="3">
        <v>1</v>
      </c>
      <c r="D36" s="4" t="s">
        <v>7</v>
      </c>
      <c r="E36" s="3">
        <v>12</v>
      </c>
      <c r="F36" s="14">
        <v>1.5</v>
      </c>
      <c r="G36" s="14">
        <v>1.5</v>
      </c>
      <c r="H36" s="14">
        <v>0.1</v>
      </c>
      <c r="I36" s="29">
        <v>2.7</v>
      </c>
      <c r="J36" s="4"/>
      <c r="K36" s="22"/>
    </row>
    <row r="37" spans="1:11" x14ac:dyDescent="0.2">
      <c r="A37" s="44" t="s">
        <v>94</v>
      </c>
      <c r="B37" s="51"/>
      <c r="C37" s="17"/>
      <c r="D37" s="17"/>
      <c r="E37" s="17"/>
      <c r="F37" s="17"/>
      <c r="G37" s="17"/>
      <c r="H37" s="17"/>
      <c r="I37" s="28"/>
      <c r="J37" s="17"/>
      <c r="K37" s="37"/>
    </row>
    <row r="38" spans="1:11" s="66" customFormat="1" ht="15" customHeight="1" x14ac:dyDescent="0.2">
      <c r="A38" s="61" t="s">
        <v>61</v>
      </c>
      <c r="B38" s="64" t="s">
        <v>78</v>
      </c>
      <c r="C38" s="59"/>
      <c r="D38" s="59"/>
      <c r="E38" s="59"/>
      <c r="F38" s="59"/>
      <c r="G38" s="59"/>
      <c r="H38" s="59"/>
      <c r="I38" s="60">
        <v>106.34753580246914</v>
      </c>
      <c r="J38" s="57" t="s">
        <v>19</v>
      </c>
      <c r="K38" s="65" t="s">
        <v>57</v>
      </c>
    </row>
    <row r="39" spans="1:11" s="23" customFormat="1" x14ac:dyDescent="0.2">
      <c r="A39" s="45" t="s">
        <v>69</v>
      </c>
      <c r="B39" s="7" t="s">
        <v>5</v>
      </c>
      <c r="C39" s="7"/>
      <c r="D39" s="7"/>
      <c r="E39" s="7"/>
      <c r="F39" s="7"/>
      <c r="G39" s="7"/>
      <c r="H39" s="7"/>
      <c r="I39" s="31">
        <v>42.011970370370378</v>
      </c>
      <c r="J39" s="2" t="s">
        <v>19</v>
      </c>
      <c r="K39" s="25"/>
    </row>
    <row r="40" spans="1:11" ht="20" customHeight="1" x14ac:dyDescent="0.2">
      <c r="A40" s="45">
        <v>1</v>
      </c>
      <c r="B40" s="6" t="s">
        <v>18</v>
      </c>
      <c r="C40" s="3"/>
      <c r="D40" s="4"/>
      <c r="E40" s="3"/>
      <c r="F40" s="11"/>
      <c r="G40" s="11"/>
      <c r="H40" s="10"/>
      <c r="I40" s="34">
        <v>42.011970370370378</v>
      </c>
      <c r="J40" s="16"/>
      <c r="K40" s="22"/>
    </row>
    <row r="41" spans="1:11" x14ac:dyDescent="0.2">
      <c r="A41" s="45"/>
      <c r="B41" s="18"/>
      <c r="C41" s="18"/>
      <c r="D41" s="18"/>
      <c r="E41" s="18"/>
      <c r="F41" s="18"/>
      <c r="G41" s="18"/>
      <c r="H41" s="18"/>
      <c r="I41" s="32"/>
      <c r="J41" s="22"/>
      <c r="K41" s="22"/>
    </row>
    <row r="42" spans="1:11" s="23" customFormat="1" x14ac:dyDescent="0.2">
      <c r="A42" s="45" t="s">
        <v>1</v>
      </c>
      <c r="B42" s="7" t="s">
        <v>15</v>
      </c>
      <c r="C42" s="19"/>
      <c r="D42" s="2"/>
      <c r="E42" s="19"/>
      <c r="F42" s="15"/>
      <c r="G42" s="15"/>
      <c r="H42" s="15"/>
      <c r="I42" s="31">
        <v>64.335565432098761</v>
      </c>
      <c r="J42" s="2" t="s">
        <v>19</v>
      </c>
      <c r="K42" s="25"/>
    </row>
    <row r="43" spans="1:11" x14ac:dyDescent="0.2">
      <c r="A43" s="45">
        <v>1</v>
      </c>
      <c r="B43" s="6" t="s">
        <v>18</v>
      </c>
      <c r="C43" s="3"/>
      <c r="D43" s="4"/>
      <c r="E43" s="3"/>
      <c r="F43" s="11"/>
      <c r="G43" s="11"/>
      <c r="H43" s="10"/>
      <c r="I43" s="34">
        <v>64.335565432098761</v>
      </c>
      <c r="J43" s="16"/>
      <c r="K43" s="22"/>
    </row>
    <row r="44" spans="1:11" x14ac:dyDescent="0.2">
      <c r="A44" s="44" t="s">
        <v>95</v>
      </c>
      <c r="B44" s="51"/>
      <c r="C44" s="17"/>
      <c r="D44" s="17"/>
      <c r="E44" s="17"/>
      <c r="F44" s="17"/>
      <c r="G44" s="17"/>
      <c r="H44" s="17"/>
      <c r="I44" s="28"/>
      <c r="J44" s="17"/>
      <c r="K44" s="37"/>
    </row>
    <row r="45" spans="1:11" s="66" customFormat="1" ht="15" customHeight="1" x14ac:dyDescent="0.2">
      <c r="A45" s="61" t="s">
        <v>62</v>
      </c>
      <c r="B45" s="64" t="s">
        <v>79</v>
      </c>
      <c r="C45" s="59"/>
      <c r="D45" s="59"/>
      <c r="E45" s="59"/>
      <c r="F45" s="59"/>
      <c r="G45" s="59"/>
      <c r="H45" s="59"/>
      <c r="I45" s="60">
        <v>199.79999999999998</v>
      </c>
      <c r="J45" s="57" t="s">
        <v>86</v>
      </c>
      <c r="K45" s="65" t="s">
        <v>57</v>
      </c>
    </row>
    <row r="46" spans="1:11" s="23" customFormat="1" ht="19" x14ac:dyDescent="0.2">
      <c r="A46" s="45" t="s">
        <v>69</v>
      </c>
      <c r="B46" s="7" t="s">
        <v>5</v>
      </c>
      <c r="C46" s="7"/>
      <c r="D46" s="7"/>
      <c r="E46" s="7"/>
      <c r="F46" s="7"/>
      <c r="G46" s="7"/>
      <c r="H46" s="7"/>
      <c r="I46" s="31">
        <v>75.599999999999994</v>
      </c>
      <c r="J46" s="2" t="s">
        <v>55</v>
      </c>
      <c r="K46" s="25"/>
    </row>
    <row r="47" spans="1:11" x14ac:dyDescent="0.2">
      <c r="A47" s="45">
        <v>1</v>
      </c>
      <c r="B47" s="6" t="s">
        <v>20</v>
      </c>
      <c r="C47" s="3">
        <v>2</v>
      </c>
      <c r="D47" s="4" t="s">
        <v>7</v>
      </c>
      <c r="E47" s="3">
        <v>10</v>
      </c>
      <c r="F47" s="11">
        <v>6</v>
      </c>
      <c r="G47" s="11"/>
      <c r="H47" s="11">
        <v>0.45</v>
      </c>
      <c r="I47" s="29">
        <v>54</v>
      </c>
      <c r="J47" s="4"/>
      <c r="K47" s="22"/>
    </row>
    <row r="48" spans="1:11" x14ac:dyDescent="0.2">
      <c r="A48" s="45">
        <v>2</v>
      </c>
      <c r="B48" s="6" t="s">
        <v>21</v>
      </c>
      <c r="C48" s="3">
        <v>2</v>
      </c>
      <c r="D48" s="4" t="s">
        <v>7</v>
      </c>
      <c r="E48" s="3">
        <v>2</v>
      </c>
      <c r="F48" s="11">
        <v>6</v>
      </c>
      <c r="G48" s="11"/>
      <c r="H48" s="11">
        <v>0.45</v>
      </c>
      <c r="I48" s="29">
        <v>10.8</v>
      </c>
      <c r="J48" s="4"/>
      <c r="K48" s="22"/>
    </row>
    <row r="49" spans="1:11" x14ac:dyDescent="0.2">
      <c r="A49" s="45">
        <v>3</v>
      </c>
      <c r="B49" s="6" t="s">
        <v>22</v>
      </c>
      <c r="C49" s="3">
        <v>1</v>
      </c>
      <c r="D49" s="4" t="s">
        <v>7</v>
      </c>
      <c r="E49" s="3">
        <v>4</v>
      </c>
      <c r="F49" s="11">
        <v>6</v>
      </c>
      <c r="G49" s="11"/>
      <c r="H49" s="11">
        <v>0.45</v>
      </c>
      <c r="I49" s="29">
        <v>10.8</v>
      </c>
      <c r="J49" s="4"/>
      <c r="K49" s="22"/>
    </row>
    <row r="50" spans="1:11" x14ac:dyDescent="0.2">
      <c r="A50" s="45"/>
      <c r="B50" s="18"/>
      <c r="C50" s="18"/>
      <c r="D50" s="18"/>
      <c r="E50" s="18"/>
      <c r="F50" s="18"/>
      <c r="G50" s="18"/>
      <c r="H50" s="18"/>
      <c r="I50" s="32"/>
      <c r="J50" s="22"/>
      <c r="K50" s="22"/>
    </row>
    <row r="51" spans="1:11" s="23" customFormat="1" ht="19" x14ac:dyDescent="0.2">
      <c r="A51" s="45" t="s">
        <v>1</v>
      </c>
      <c r="B51" s="7" t="s">
        <v>15</v>
      </c>
      <c r="C51" s="19"/>
      <c r="D51" s="2"/>
      <c r="E51" s="19"/>
      <c r="F51" s="15"/>
      <c r="G51" s="24"/>
      <c r="H51" s="15"/>
      <c r="I51" s="33">
        <v>124.19999999999999</v>
      </c>
      <c r="J51" s="2" t="s">
        <v>55</v>
      </c>
      <c r="K51" s="25"/>
    </row>
    <row r="52" spans="1:11" x14ac:dyDescent="0.2">
      <c r="A52" s="45">
        <v>1</v>
      </c>
      <c r="B52" s="6" t="s">
        <v>23</v>
      </c>
      <c r="C52" s="3">
        <v>2</v>
      </c>
      <c r="D52" s="4" t="s">
        <v>7</v>
      </c>
      <c r="E52" s="3">
        <v>15</v>
      </c>
      <c r="F52" s="11">
        <v>6</v>
      </c>
      <c r="G52" s="9"/>
      <c r="H52" s="11">
        <v>0.45</v>
      </c>
      <c r="I52" s="29">
        <v>81</v>
      </c>
      <c r="J52" s="4"/>
      <c r="K52" s="22"/>
    </row>
    <row r="53" spans="1:11" x14ac:dyDescent="0.2">
      <c r="A53" s="45">
        <v>2</v>
      </c>
      <c r="B53" s="6" t="s">
        <v>24</v>
      </c>
      <c r="C53" s="3">
        <v>2</v>
      </c>
      <c r="D53" s="4" t="s">
        <v>7</v>
      </c>
      <c r="E53" s="3">
        <v>2</v>
      </c>
      <c r="F53" s="11">
        <v>6</v>
      </c>
      <c r="G53" s="9"/>
      <c r="H53" s="11">
        <v>0.45</v>
      </c>
      <c r="I53" s="29">
        <v>10.8</v>
      </c>
      <c r="J53" s="4"/>
      <c r="K53" s="22"/>
    </row>
    <row r="54" spans="1:11" x14ac:dyDescent="0.2">
      <c r="A54" s="45">
        <v>3</v>
      </c>
      <c r="B54" s="6" t="s">
        <v>25</v>
      </c>
      <c r="C54" s="3">
        <v>1</v>
      </c>
      <c r="D54" s="4" t="s">
        <v>7</v>
      </c>
      <c r="E54" s="3">
        <v>12</v>
      </c>
      <c r="F54" s="11">
        <v>6</v>
      </c>
      <c r="G54" s="9"/>
      <c r="H54" s="11">
        <v>0.45</v>
      </c>
      <c r="I54" s="29">
        <v>32.4</v>
      </c>
      <c r="J54" s="4"/>
      <c r="K54" s="22"/>
    </row>
    <row r="55" spans="1:11" x14ac:dyDescent="0.2">
      <c r="A55" s="45"/>
      <c r="B55" s="53"/>
      <c r="C55" s="3"/>
      <c r="D55" s="4"/>
      <c r="E55" s="3"/>
      <c r="F55" s="14"/>
      <c r="G55" s="14"/>
      <c r="H55" s="14"/>
      <c r="I55" s="32"/>
      <c r="J55" s="22"/>
      <c r="K55" s="22"/>
    </row>
    <row r="56" spans="1:11" s="66" customFormat="1" ht="19" x14ac:dyDescent="0.2">
      <c r="A56" s="61" t="s">
        <v>63</v>
      </c>
      <c r="B56" s="64" t="s">
        <v>80</v>
      </c>
      <c r="C56" s="62"/>
      <c r="D56" s="62"/>
      <c r="E56" s="62"/>
      <c r="F56" s="62"/>
      <c r="G56" s="62"/>
      <c r="H56" s="62"/>
      <c r="I56" s="60">
        <v>257.35500000000002</v>
      </c>
      <c r="J56" s="57" t="s">
        <v>86</v>
      </c>
      <c r="K56" s="65" t="s">
        <v>57</v>
      </c>
    </row>
    <row r="57" spans="1:11" s="23" customFormat="1" ht="19" x14ac:dyDescent="0.2">
      <c r="A57" s="46" t="s">
        <v>69</v>
      </c>
      <c r="B57" s="7" t="s">
        <v>26</v>
      </c>
      <c r="C57" s="7"/>
      <c r="D57" s="7"/>
      <c r="E57" s="7"/>
      <c r="F57" s="7"/>
      <c r="G57" s="7"/>
      <c r="H57" s="7"/>
      <c r="I57" s="31">
        <v>100.548</v>
      </c>
      <c r="J57" s="2" t="s">
        <v>55</v>
      </c>
      <c r="K57" s="25"/>
    </row>
    <row r="58" spans="1:11" x14ac:dyDescent="0.2">
      <c r="A58" s="46">
        <v>1</v>
      </c>
      <c r="B58" s="6" t="s">
        <v>27</v>
      </c>
      <c r="C58" s="3">
        <v>2</v>
      </c>
      <c r="D58" s="4" t="s">
        <v>7</v>
      </c>
      <c r="E58" s="3">
        <v>8</v>
      </c>
      <c r="F58" s="11">
        <v>1.05</v>
      </c>
      <c r="G58" s="11"/>
      <c r="H58" s="11">
        <v>3.15</v>
      </c>
      <c r="I58" s="34">
        <v>52.92</v>
      </c>
      <c r="J58" s="4"/>
      <c r="K58" s="22"/>
    </row>
    <row r="59" spans="1:11" x14ac:dyDescent="0.2">
      <c r="A59" s="46">
        <v>2</v>
      </c>
      <c r="B59" s="6" t="s">
        <v>28</v>
      </c>
      <c r="C59" s="3">
        <v>2</v>
      </c>
      <c r="D59" s="4" t="s">
        <v>7</v>
      </c>
      <c r="E59" s="3">
        <v>2</v>
      </c>
      <c r="F59" s="11">
        <v>1.58</v>
      </c>
      <c r="G59" s="11"/>
      <c r="H59" s="11">
        <v>3.15</v>
      </c>
      <c r="I59" s="34">
        <v>19.908000000000001</v>
      </c>
      <c r="J59" s="4"/>
      <c r="K59" s="22"/>
    </row>
    <row r="60" spans="1:11" x14ac:dyDescent="0.2">
      <c r="A60" s="46">
        <v>3</v>
      </c>
      <c r="B60" s="6" t="s">
        <v>29</v>
      </c>
      <c r="C60" s="3">
        <v>2</v>
      </c>
      <c r="D60" s="4" t="s">
        <v>7</v>
      </c>
      <c r="E60" s="3">
        <v>2</v>
      </c>
      <c r="F60" s="11">
        <v>1.28</v>
      </c>
      <c r="G60" s="11"/>
      <c r="H60" s="11">
        <v>3.15</v>
      </c>
      <c r="I60" s="34">
        <v>16.128</v>
      </c>
      <c r="J60" s="4"/>
      <c r="K60" s="22"/>
    </row>
    <row r="61" spans="1:11" x14ac:dyDescent="0.2">
      <c r="A61" s="46">
        <v>4</v>
      </c>
      <c r="B61" s="6" t="s">
        <v>30</v>
      </c>
      <c r="C61" s="3">
        <v>1</v>
      </c>
      <c r="D61" s="4" t="s">
        <v>7</v>
      </c>
      <c r="E61" s="3">
        <v>4</v>
      </c>
      <c r="F61" s="11">
        <v>0.92</v>
      </c>
      <c r="G61" s="11"/>
      <c r="H61" s="11">
        <v>3.15</v>
      </c>
      <c r="I61" s="34">
        <v>11.592000000000001</v>
      </c>
      <c r="J61" s="4"/>
      <c r="K61" s="22"/>
    </row>
    <row r="62" spans="1:11" x14ac:dyDescent="0.2">
      <c r="A62" s="46"/>
      <c r="B62" s="18"/>
      <c r="C62" s="18"/>
      <c r="D62" s="18"/>
      <c r="E62" s="18"/>
      <c r="F62" s="18"/>
      <c r="G62" s="18"/>
      <c r="H62" s="18"/>
      <c r="I62" s="32"/>
      <c r="J62" s="22"/>
      <c r="K62" s="22"/>
    </row>
    <row r="63" spans="1:11" s="23" customFormat="1" ht="19" x14ac:dyDescent="0.2">
      <c r="A63" s="46" t="s">
        <v>1</v>
      </c>
      <c r="B63" s="7" t="s">
        <v>15</v>
      </c>
      <c r="C63" s="19"/>
      <c r="D63" s="2"/>
      <c r="E63" s="19"/>
      <c r="F63" s="15"/>
      <c r="G63" s="24"/>
      <c r="H63" s="15"/>
      <c r="I63" s="33">
        <v>156.80700000000002</v>
      </c>
      <c r="J63" s="2" t="s">
        <v>55</v>
      </c>
      <c r="K63" s="25"/>
    </row>
    <row r="64" spans="1:11" x14ac:dyDescent="0.2">
      <c r="A64" s="46">
        <v>1</v>
      </c>
      <c r="B64" s="6" t="s">
        <v>27</v>
      </c>
      <c r="C64" s="3">
        <v>2</v>
      </c>
      <c r="D64" s="4" t="s">
        <v>7</v>
      </c>
      <c r="E64" s="3">
        <v>13</v>
      </c>
      <c r="F64" s="11">
        <v>1.05</v>
      </c>
      <c r="G64" s="11"/>
      <c r="H64" s="11">
        <v>3.15</v>
      </c>
      <c r="I64" s="34">
        <v>85.995000000000005</v>
      </c>
      <c r="J64" s="4"/>
      <c r="K64" s="22"/>
    </row>
    <row r="65" spans="1:11" x14ac:dyDescent="0.2">
      <c r="A65" s="46">
        <v>2</v>
      </c>
      <c r="B65" s="6" t="s">
        <v>28</v>
      </c>
      <c r="C65" s="3">
        <v>2</v>
      </c>
      <c r="D65" s="4" t="s">
        <v>7</v>
      </c>
      <c r="E65" s="3">
        <v>2</v>
      </c>
      <c r="F65" s="11">
        <v>1.58</v>
      </c>
      <c r="G65" s="11"/>
      <c r="H65" s="11">
        <v>3.15</v>
      </c>
      <c r="I65" s="34">
        <v>19.908000000000001</v>
      </c>
      <c r="J65" s="4"/>
      <c r="K65" s="22"/>
    </row>
    <row r="66" spans="1:11" x14ac:dyDescent="0.2">
      <c r="A66" s="46">
        <v>3</v>
      </c>
      <c r="B66" s="6" t="s">
        <v>29</v>
      </c>
      <c r="C66" s="3">
        <v>2</v>
      </c>
      <c r="D66" s="4" t="s">
        <v>7</v>
      </c>
      <c r="E66" s="3">
        <v>2</v>
      </c>
      <c r="F66" s="11">
        <v>1.28</v>
      </c>
      <c r="G66" s="11"/>
      <c r="H66" s="11">
        <v>3.15</v>
      </c>
      <c r="I66" s="34">
        <v>16.128</v>
      </c>
      <c r="J66" s="4"/>
      <c r="K66" s="22"/>
    </row>
    <row r="67" spans="1:11" x14ac:dyDescent="0.2">
      <c r="A67" s="46">
        <v>4</v>
      </c>
      <c r="B67" s="6" t="s">
        <v>30</v>
      </c>
      <c r="C67" s="3">
        <v>1</v>
      </c>
      <c r="D67" s="4" t="s">
        <v>7</v>
      </c>
      <c r="E67" s="3">
        <v>12</v>
      </c>
      <c r="F67" s="11">
        <v>0.92</v>
      </c>
      <c r="G67" s="11"/>
      <c r="H67" s="11">
        <v>3.15</v>
      </c>
      <c r="I67" s="34">
        <v>34.776000000000003</v>
      </c>
      <c r="J67" s="4"/>
      <c r="K67" s="22"/>
    </row>
    <row r="68" spans="1:11" x14ac:dyDescent="0.2">
      <c r="A68" s="44" t="s">
        <v>96</v>
      </c>
      <c r="B68" s="51"/>
      <c r="C68" s="17"/>
      <c r="D68" s="17"/>
      <c r="E68" s="17"/>
      <c r="F68" s="17"/>
      <c r="G68" s="17"/>
      <c r="H68" s="17"/>
      <c r="I68" s="28"/>
      <c r="J68" s="17"/>
      <c r="K68" s="37"/>
    </row>
    <row r="69" spans="1:11" s="66" customFormat="1" ht="15" customHeight="1" x14ac:dyDescent="0.2">
      <c r="A69" s="61" t="s">
        <v>64</v>
      </c>
      <c r="B69" s="64" t="s">
        <v>81</v>
      </c>
      <c r="C69" s="59"/>
      <c r="D69" s="59"/>
      <c r="E69" s="59"/>
      <c r="F69" s="59"/>
      <c r="G69" s="59"/>
      <c r="H69" s="59"/>
      <c r="I69" s="60">
        <v>112.97766</v>
      </c>
      <c r="J69" s="57" t="s">
        <v>86</v>
      </c>
      <c r="K69" s="65" t="s">
        <v>57</v>
      </c>
    </row>
    <row r="70" spans="1:11" s="23" customFormat="1" ht="19" x14ac:dyDescent="0.2">
      <c r="A70" s="45" t="s">
        <v>69</v>
      </c>
      <c r="B70" s="7" t="s">
        <v>48</v>
      </c>
      <c r="C70" s="7"/>
      <c r="D70" s="7"/>
      <c r="E70" s="7"/>
      <c r="F70" s="7"/>
      <c r="G70" s="7"/>
      <c r="H70" s="7"/>
      <c r="I70" s="8">
        <f>I71+I72+I73</f>
        <v>28.35</v>
      </c>
      <c r="J70" s="2" t="s">
        <v>49</v>
      </c>
      <c r="K70" s="25"/>
    </row>
    <row r="71" spans="1:11" x14ac:dyDescent="0.2">
      <c r="A71" s="45">
        <v>1</v>
      </c>
      <c r="B71" s="6" t="s">
        <v>31</v>
      </c>
      <c r="C71" s="3">
        <v>2</v>
      </c>
      <c r="D71" s="4" t="s">
        <v>7</v>
      </c>
      <c r="E71" s="3">
        <v>10</v>
      </c>
      <c r="F71" s="11">
        <v>1.5</v>
      </c>
      <c r="G71" s="11">
        <v>1.5</v>
      </c>
      <c r="H71" s="11">
        <v>0.45</v>
      </c>
      <c r="I71" s="34">
        <v>20.25</v>
      </c>
      <c r="J71" s="5"/>
      <c r="K71" s="22"/>
    </row>
    <row r="72" spans="1:11" x14ac:dyDescent="0.2">
      <c r="A72" s="45">
        <v>2</v>
      </c>
      <c r="B72" s="6" t="s">
        <v>32</v>
      </c>
      <c r="C72" s="3">
        <v>2</v>
      </c>
      <c r="D72" s="4" t="s">
        <v>7</v>
      </c>
      <c r="E72" s="3">
        <v>2</v>
      </c>
      <c r="F72" s="11">
        <v>1.5</v>
      </c>
      <c r="G72" s="11">
        <v>1.5</v>
      </c>
      <c r="H72" s="11">
        <v>0.45</v>
      </c>
      <c r="I72" s="34">
        <v>4.05</v>
      </c>
      <c r="J72" s="5"/>
      <c r="K72" s="22"/>
    </row>
    <row r="73" spans="1:11" x14ac:dyDescent="0.2">
      <c r="A73" s="45">
        <v>3</v>
      </c>
      <c r="B73" s="6" t="s">
        <v>33</v>
      </c>
      <c r="C73" s="3">
        <v>1</v>
      </c>
      <c r="D73" s="4" t="s">
        <v>7</v>
      </c>
      <c r="E73" s="3">
        <v>4</v>
      </c>
      <c r="F73" s="11">
        <v>1.5</v>
      </c>
      <c r="G73" s="11">
        <v>1.5</v>
      </c>
      <c r="H73" s="11">
        <v>0.45</v>
      </c>
      <c r="I73" s="34">
        <v>4.05</v>
      </c>
      <c r="J73" s="5"/>
      <c r="K73" s="22"/>
    </row>
    <row r="74" spans="1:11" s="23" customFormat="1" ht="19" x14ac:dyDescent="0.2">
      <c r="A74" s="45" t="s">
        <v>1</v>
      </c>
      <c r="B74" s="7" t="s">
        <v>34</v>
      </c>
      <c r="C74" s="19"/>
      <c r="D74" s="2"/>
      <c r="E74" s="19"/>
      <c r="F74" s="13"/>
      <c r="G74" s="13"/>
      <c r="H74" s="13"/>
      <c r="I74" s="31">
        <f>I75+I76+I77</f>
        <v>4.2</v>
      </c>
      <c r="J74" s="2" t="s">
        <v>49</v>
      </c>
      <c r="K74" s="25"/>
    </row>
    <row r="75" spans="1:11" ht="34" x14ac:dyDescent="0.2">
      <c r="A75" s="45">
        <v>1</v>
      </c>
      <c r="B75" s="6" t="s">
        <v>35</v>
      </c>
      <c r="C75" s="3">
        <v>2</v>
      </c>
      <c r="D75" s="4" t="s">
        <v>7</v>
      </c>
      <c r="E75" s="3">
        <v>10</v>
      </c>
      <c r="F75" s="20" t="s">
        <v>36</v>
      </c>
      <c r="G75" s="20" t="s">
        <v>36</v>
      </c>
      <c r="H75" s="11">
        <v>0.15</v>
      </c>
      <c r="I75" s="34">
        <v>3</v>
      </c>
      <c r="J75" s="5"/>
      <c r="K75" s="22"/>
    </row>
    <row r="76" spans="1:11" ht="34" x14ac:dyDescent="0.2">
      <c r="A76" s="45">
        <v>2</v>
      </c>
      <c r="B76" s="6" t="s">
        <v>8</v>
      </c>
      <c r="C76" s="3">
        <v>2</v>
      </c>
      <c r="D76" s="4" t="s">
        <v>7</v>
      </c>
      <c r="E76" s="3">
        <v>2</v>
      </c>
      <c r="F76" s="20" t="s">
        <v>36</v>
      </c>
      <c r="G76" s="20" t="s">
        <v>36</v>
      </c>
      <c r="H76" s="11">
        <v>0.15</v>
      </c>
      <c r="I76" s="34">
        <v>0.6</v>
      </c>
      <c r="J76" s="5"/>
      <c r="K76" s="22"/>
    </row>
    <row r="77" spans="1:11" ht="34" x14ac:dyDescent="0.2">
      <c r="A77" s="45">
        <v>3</v>
      </c>
      <c r="B77" s="6" t="s">
        <v>33</v>
      </c>
      <c r="C77" s="3">
        <v>1</v>
      </c>
      <c r="D77" s="4" t="s">
        <v>7</v>
      </c>
      <c r="E77" s="3">
        <v>4</v>
      </c>
      <c r="F77" s="20" t="s">
        <v>36</v>
      </c>
      <c r="G77" s="20" t="s">
        <v>36</v>
      </c>
      <c r="H77" s="11">
        <v>0.15</v>
      </c>
      <c r="I77" s="34">
        <v>0.6</v>
      </c>
      <c r="J77" s="5"/>
      <c r="K77" s="22"/>
    </row>
    <row r="78" spans="1:11" s="23" customFormat="1" ht="19" x14ac:dyDescent="0.2">
      <c r="A78" s="45" t="s">
        <v>70</v>
      </c>
      <c r="B78" s="7" t="s">
        <v>37</v>
      </c>
      <c r="C78" s="19"/>
      <c r="D78" s="2"/>
      <c r="E78" s="19"/>
      <c r="F78" s="13"/>
      <c r="G78" s="13"/>
      <c r="H78" s="13"/>
      <c r="I78" s="31">
        <f>I79+I80+I81+I82</f>
        <v>5.5961400000000001</v>
      </c>
      <c r="J78" s="2" t="s">
        <v>49</v>
      </c>
      <c r="K78" s="25"/>
    </row>
    <row r="79" spans="1:11" x14ac:dyDescent="0.2">
      <c r="A79" s="45">
        <v>1</v>
      </c>
      <c r="B79" s="6" t="s">
        <v>27</v>
      </c>
      <c r="C79" s="3">
        <v>2</v>
      </c>
      <c r="D79" s="4" t="s">
        <v>7</v>
      </c>
      <c r="E79" s="3">
        <v>8</v>
      </c>
      <c r="F79" s="11">
        <v>0.3</v>
      </c>
      <c r="G79" s="11">
        <v>0.45</v>
      </c>
      <c r="H79" s="11">
        <v>1.65</v>
      </c>
      <c r="I79" s="34">
        <v>3.5640000000000001</v>
      </c>
      <c r="J79" s="5"/>
      <c r="K79" s="22"/>
    </row>
    <row r="80" spans="1:11" x14ac:dyDescent="0.2">
      <c r="A80" s="45">
        <v>2</v>
      </c>
      <c r="B80" s="6" t="s">
        <v>28</v>
      </c>
      <c r="C80" s="3">
        <v>2</v>
      </c>
      <c r="D80" s="4" t="s">
        <v>7</v>
      </c>
      <c r="E80" s="3">
        <v>2</v>
      </c>
      <c r="F80" s="11">
        <v>0.34</v>
      </c>
      <c r="G80" s="11">
        <v>0.45</v>
      </c>
      <c r="H80" s="11">
        <v>1.65</v>
      </c>
      <c r="I80" s="34">
        <v>1.0098</v>
      </c>
      <c r="J80" s="5"/>
      <c r="K80" s="38"/>
    </row>
    <row r="81" spans="1:11" x14ac:dyDescent="0.2">
      <c r="A81" s="45">
        <v>3</v>
      </c>
      <c r="B81" s="6" t="s">
        <v>29</v>
      </c>
      <c r="C81" s="3">
        <v>2</v>
      </c>
      <c r="D81" s="4" t="s">
        <v>7</v>
      </c>
      <c r="E81" s="3">
        <v>2</v>
      </c>
      <c r="F81" s="11">
        <v>0.34</v>
      </c>
      <c r="G81" s="11">
        <v>0.3</v>
      </c>
      <c r="H81" s="11">
        <v>1.65</v>
      </c>
      <c r="I81" s="34">
        <v>0.67320000000000002</v>
      </c>
      <c r="J81" s="5"/>
      <c r="K81" s="22"/>
    </row>
    <row r="82" spans="1:11" x14ac:dyDescent="0.2">
      <c r="A82" s="45">
        <v>4</v>
      </c>
      <c r="B82" s="6" t="s">
        <v>30</v>
      </c>
      <c r="C82" s="3">
        <v>1</v>
      </c>
      <c r="D82" s="4" t="s">
        <v>7</v>
      </c>
      <c r="E82" s="3">
        <v>4</v>
      </c>
      <c r="F82" s="11">
        <v>0.23</v>
      </c>
      <c r="G82" s="11">
        <v>0.23</v>
      </c>
      <c r="H82" s="11">
        <v>1.65</v>
      </c>
      <c r="I82" s="34">
        <v>0.34914000000000001</v>
      </c>
      <c r="J82" s="5"/>
      <c r="K82" s="22"/>
    </row>
    <row r="83" spans="1:11" s="23" customFormat="1" ht="19" x14ac:dyDescent="0.2">
      <c r="A83" s="45" t="s">
        <v>2</v>
      </c>
      <c r="B83" s="7" t="s">
        <v>38</v>
      </c>
      <c r="C83" s="19"/>
      <c r="D83" s="2"/>
      <c r="E83" s="19"/>
      <c r="F83" s="13"/>
      <c r="G83" s="13"/>
      <c r="H83" s="13"/>
      <c r="I83" s="31">
        <f>I84+I85+I86+I87</f>
        <v>5.0874000000000006</v>
      </c>
      <c r="J83" s="2" t="s">
        <v>49</v>
      </c>
      <c r="K83" s="25"/>
    </row>
    <row r="84" spans="1:11" x14ac:dyDescent="0.2">
      <c r="A84" s="45">
        <v>1</v>
      </c>
      <c r="B84" s="6" t="s">
        <v>27</v>
      </c>
      <c r="C84" s="3">
        <v>2</v>
      </c>
      <c r="D84" s="4" t="s">
        <v>7</v>
      </c>
      <c r="E84" s="3">
        <v>8</v>
      </c>
      <c r="F84" s="11">
        <v>0.3</v>
      </c>
      <c r="G84" s="11">
        <v>0.45</v>
      </c>
      <c r="H84" s="11">
        <v>1.5</v>
      </c>
      <c r="I84" s="34">
        <v>3.24</v>
      </c>
      <c r="J84" s="5"/>
      <c r="K84" s="22"/>
    </row>
    <row r="85" spans="1:11" x14ac:dyDescent="0.2">
      <c r="A85" s="45">
        <v>2</v>
      </c>
      <c r="B85" s="6" t="s">
        <v>28</v>
      </c>
      <c r="C85" s="3">
        <v>2</v>
      </c>
      <c r="D85" s="4" t="s">
        <v>7</v>
      </c>
      <c r="E85" s="3">
        <v>2</v>
      </c>
      <c r="F85" s="11">
        <v>0.34</v>
      </c>
      <c r="G85" s="11">
        <v>0.45</v>
      </c>
      <c r="H85" s="11">
        <v>1.5</v>
      </c>
      <c r="I85" s="34">
        <v>0.91800000000000015</v>
      </c>
      <c r="J85" s="5"/>
      <c r="K85" s="22"/>
    </row>
    <row r="86" spans="1:11" x14ac:dyDescent="0.2">
      <c r="A86" s="45">
        <v>3</v>
      </c>
      <c r="B86" s="6" t="s">
        <v>29</v>
      </c>
      <c r="C86" s="3">
        <v>2</v>
      </c>
      <c r="D86" s="4" t="s">
        <v>7</v>
      </c>
      <c r="E86" s="3">
        <v>2</v>
      </c>
      <c r="F86" s="11">
        <v>0.34</v>
      </c>
      <c r="G86" s="11">
        <v>0.3</v>
      </c>
      <c r="H86" s="11">
        <v>1.5</v>
      </c>
      <c r="I86" s="34">
        <v>0.6120000000000001</v>
      </c>
      <c r="J86" s="5"/>
      <c r="K86" s="22"/>
    </row>
    <row r="87" spans="1:11" x14ac:dyDescent="0.2">
      <c r="A87" s="45">
        <v>4</v>
      </c>
      <c r="B87" s="6" t="s">
        <v>30</v>
      </c>
      <c r="C87" s="3">
        <v>1</v>
      </c>
      <c r="D87" s="4" t="s">
        <v>7</v>
      </c>
      <c r="E87" s="3">
        <v>4</v>
      </c>
      <c r="F87" s="11">
        <v>0.23</v>
      </c>
      <c r="G87" s="11">
        <v>0.23</v>
      </c>
      <c r="H87" s="11">
        <v>1.5</v>
      </c>
      <c r="I87" s="34">
        <v>0.31740000000000002</v>
      </c>
      <c r="J87" s="5"/>
      <c r="K87" s="22"/>
    </row>
    <row r="88" spans="1:11" x14ac:dyDescent="0.2">
      <c r="A88" s="45"/>
      <c r="B88" s="18"/>
      <c r="C88" s="18"/>
      <c r="D88" s="18"/>
      <c r="E88" s="18"/>
      <c r="F88" s="18"/>
      <c r="G88" s="18"/>
      <c r="H88" s="18"/>
      <c r="I88" s="31"/>
      <c r="J88" s="22"/>
      <c r="K88" s="22"/>
    </row>
    <row r="89" spans="1:11" s="23" customFormat="1" ht="19" x14ac:dyDescent="0.2">
      <c r="A89" s="45" t="s">
        <v>71</v>
      </c>
      <c r="B89" s="7" t="s">
        <v>15</v>
      </c>
      <c r="C89" s="19"/>
      <c r="D89" s="2"/>
      <c r="E89" s="19"/>
      <c r="F89" s="15"/>
      <c r="G89" s="15"/>
      <c r="H89" s="15"/>
      <c r="I89" s="33">
        <f>I90+I91+I92</f>
        <v>46.574999999999996</v>
      </c>
      <c r="J89" s="2" t="s">
        <v>49</v>
      </c>
      <c r="K89" s="25"/>
    </row>
    <row r="90" spans="1:11" x14ac:dyDescent="0.2">
      <c r="A90" s="45">
        <v>1</v>
      </c>
      <c r="B90" s="6" t="s">
        <v>31</v>
      </c>
      <c r="C90" s="3">
        <v>2</v>
      </c>
      <c r="D90" s="4" t="s">
        <v>7</v>
      </c>
      <c r="E90" s="3">
        <v>15</v>
      </c>
      <c r="F90" s="14">
        <v>1.5</v>
      </c>
      <c r="G90" s="14">
        <v>1.5</v>
      </c>
      <c r="H90" s="11">
        <v>0.45</v>
      </c>
      <c r="I90" s="34">
        <v>30.375</v>
      </c>
      <c r="J90" s="4"/>
      <c r="K90" s="22"/>
    </row>
    <row r="91" spans="1:11" x14ac:dyDescent="0.2">
      <c r="A91" s="45">
        <v>2</v>
      </c>
      <c r="B91" s="6" t="s">
        <v>32</v>
      </c>
      <c r="C91" s="3">
        <v>2</v>
      </c>
      <c r="D91" s="4" t="s">
        <v>7</v>
      </c>
      <c r="E91" s="3">
        <v>2</v>
      </c>
      <c r="F91" s="14">
        <v>1.5</v>
      </c>
      <c r="G91" s="14">
        <v>1.5</v>
      </c>
      <c r="H91" s="11">
        <v>0.45</v>
      </c>
      <c r="I91" s="34">
        <v>4.05</v>
      </c>
      <c r="J91" s="4"/>
      <c r="K91" s="22"/>
    </row>
    <row r="92" spans="1:11" x14ac:dyDescent="0.2">
      <c r="A92" s="45">
        <v>3</v>
      </c>
      <c r="B92" s="6" t="s">
        <v>33</v>
      </c>
      <c r="C92" s="3">
        <v>1</v>
      </c>
      <c r="D92" s="4" t="s">
        <v>7</v>
      </c>
      <c r="E92" s="3">
        <v>12</v>
      </c>
      <c r="F92" s="14">
        <v>1.5</v>
      </c>
      <c r="G92" s="14">
        <v>1.5</v>
      </c>
      <c r="H92" s="11">
        <v>0.45</v>
      </c>
      <c r="I92" s="34">
        <v>12.15</v>
      </c>
      <c r="J92" s="4"/>
      <c r="K92" s="22"/>
    </row>
    <row r="93" spans="1:11" x14ac:dyDescent="0.2">
      <c r="A93" s="45"/>
      <c r="B93" s="6"/>
      <c r="C93" s="3"/>
      <c r="D93" s="4"/>
      <c r="E93" s="3"/>
      <c r="F93" s="14"/>
      <c r="G93" s="14"/>
      <c r="H93" s="11"/>
      <c r="I93" s="34"/>
      <c r="J93" s="4"/>
      <c r="K93" s="22"/>
    </row>
    <row r="94" spans="1:11" s="23" customFormat="1" ht="19" x14ac:dyDescent="0.2">
      <c r="A94" s="45" t="s">
        <v>72</v>
      </c>
      <c r="B94" s="7" t="s">
        <v>34</v>
      </c>
      <c r="C94" s="19"/>
      <c r="D94" s="2"/>
      <c r="E94" s="19"/>
      <c r="F94" s="15"/>
      <c r="G94" s="15"/>
      <c r="H94" s="15"/>
      <c r="I94" s="31">
        <f>I95+I96+I97</f>
        <v>6.8999999999999995</v>
      </c>
      <c r="J94" s="2" t="s">
        <v>49</v>
      </c>
      <c r="K94" s="25"/>
    </row>
    <row r="95" spans="1:11" ht="34" x14ac:dyDescent="0.2">
      <c r="A95" s="45">
        <v>1</v>
      </c>
      <c r="B95" s="6" t="s">
        <v>35</v>
      </c>
      <c r="C95" s="3">
        <v>2</v>
      </c>
      <c r="D95" s="4" t="s">
        <v>7</v>
      </c>
      <c r="E95" s="3">
        <v>15</v>
      </c>
      <c r="F95" s="21" t="s">
        <v>36</v>
      </c>
      <c r="G95" s="21" t="s">
        <v>36</v>
      </c>
      <c r="H95" s="1">
        <v>0.15</v>
      </c>
      <c r="I95" s="34">
        <v>4.5</v>
      </c>
      <c r="J95" s="4"/>
      <c r="K95" s="22"/>
    </row>
    <row r="96" spans="1:11" ht="34" x14ac:dyDescent="0.2">
      <c r="A96" s="45">
        <v>2</v>
      </c>
      <c r="B96" s="6" t="s">
        <v>8</v>
      </c>
      <c r="C96" s="3">
        <v>2</v>
      </c>
      <c r="D96" s="4" t="s">
        <v>7</v>
      </c>
      <c r="E96" s="3">
        <v>2</v>
      </c>
      <c r="F96" s="21" t="s">
        <v>36</v>
      </c>
      <c r="G96" s="21" t="s">
        <v>36</v>
      </c>
      <c r="H96" s="1">
        <v>0.15</v>
      </c>
      <c r="I96" s="34">
        <v>0.6</v>
      </c>
      <c r="J96" s="4"/>
      <c r="K96" s="22"/>
    </row>
    <row r="97" spans="1:11" ht="34" x14ac:dyDescent="0.2">
      <c r="A97" s="45">
        <v>3</v>
      </c>
      <c r="B97" s="6" t="s">
        <v>33</v>
      </c>
      <c r="C97" s="3">
        <v>1</v>
      </c>
      <c r="D97" s="4" t="s">
        <v>7</v>
      </c>
      <c r="E97" s="3">
        <v>12</v>
      </c>
      <c r="F97" s="21" t="s">
        <v>36</v>
      </c>
      <c r="G97" s="21" t="s">
        <v>36</v>
      </c>
      <c r="H97" s="1">
        <v>0.15</v>
      </c>
      <c r="I97" s="34">
        <v>1.7999999999999998</v>
      </c>
      <c r="J97" s="4"/>
      <c r="K97" s="22"/>
    </row>
    <row r="98" spans="1:11" x14ac:dyDescent="0.2">
      <c r="A98" s="45"/>
      <c r="B98" s="6"/>
      <c r="C98" s="3"/>
      <c r="D98" s="4"/>
      <c r="E98" s="3"/>
      <c r="F98" s="21"/>
      <c r="G98" s="21"/>
      <c r="H98" s="1"/>
      <c r="I98" s="34"/>
      <c r="J98" s="4"/>
      <c r="K98" s="22"/>
    </row>
    <row r="99" spans="1:11" s="23" customFormat="1" ht="19" x14ac:dyDescent="0.2">
      <c r="A99" s="45" t="s">
        <v>73</v>
      </c>
      <c r="B99" s="7" t="s">
        <v>37</v>
      </c>
      <c r="C99" s="19"/>
      <c r="D99" s="2"/>
      <c r="E99" s="19"/>
      <c r="F99" s="15"/>
      <c r="G99" s="15"/>
      <c r="H99" s="15"/>
      <c r="I99" s="31">
        <f>I100+I101+I102+I103</f>
        <v>8.5219199999999997</v>
      </c>
      <c r="J99" s="2" t="s">
        <v>49</v>
      </c>
      <c r="K99" s="25"/>
    </row>
    <row r="100" spans="1:11" x14ac:dyDescent="0.2">
      <c r="A100" s="45">
        <v>1</v>
      </c>
      <c r="B100" s="6" t="s">
        <v>27</v>
      </c>
      <c r="C100" s="3">
        <v>2</v>
      </c>
      <c r="D100" s="4" t="s">
        <v>7</v>
      </c>
      <c r="E100" s="3">
        <v>13</v>
      </c>
      <c r="F100" s="14">
        <v>0.3</v>
      </c>
      <c r="G100" s="14">
        <v>0.45</v>
      </c>
      <c r="H100" s="11">
        <v>1.65</v>
      </c>
      <c r="I100" s="34">
        <v>5.7914999999999992</v>
      </c>
      <c r="J100" s="4"/>
      <c r="K100" s="22"/>
    </row>
    <row r="101" spans="1:11" x14ac:dyDescent="0.2">
      <c r="A101" s="45">
        <v>2</v>
      </c>
      <c r="B101" s="6" t="s">
        <v>28</v>
      </c>
      <c r="C101" s="3">
        <v>2</v>
      </c>
      <c r="D101" s="4" t="s">
        <v>7</v>
      </c>
      <c r="E101" s="3">
        <v>2</v>
      </c>
      <c r="F101" s="14">
        <v>0.34</v>
      </c>
      <c r="G101" s="14">
        <v>0.45</v>
      </c>
      <c r="H101" s="11">
        <v>1.65</v>
      </c>
      <c r="I101" s="34">
        <v>1.0098</v>
      </c>
      <c r="J101" s="4"/>
      <c r="K101" s="22"/>
    </row>
    <row r="102" spans="1:11" x14ac:dyDescent="0.2">
      <c r="A102" s="45">
        <v>3</v>
      </c>
      <c r="B102" s="6" t="s">
        <v>29</v>
      </c>
      <c r="C102" s="3">
        <v>2</v>
      </c>
      <c r="D102" s="4" t="s">
        <v>7</v>
      </c>
      <c r="E102" s="3">
        <v>2</v>
      </c>
      <c r="F102" s="14">
        <v>0.34</v>
      </c>
      <c r="G102" s="14">
        <v>0.3</v>
      </c>
      <c r="H102" s="11">
        <v>1.65</v>
      </c>
      <c r="I102" s="34">
        <v>0.67320000000000002</v>
      </c>
      <c r="J102" s="4"/>
      <c r="K102" s="22"/>
    </row>
    <row r="103" spans="1:11" x14ac:dyDescent="0.2">
      <c r="A103" s="45">
        <v>4</v>
      </c>
      <c r="B103" s="6" t="s">
        <v>30</v>
      </c>
      <c r="C103" s="3">
        <v>1</v>
      </c>
      <c r="D103" s="4" t="s">
        <v>7</v>
      </c>
      <c r="E103" s="3">
        <v>12</v>
      </c>
      <c r="F103" s="14">
        <v>0.23</v>
      </c>
      <c r="G103" s="14">
        <v>0.23</v>
      </c>
      <c r="H103" s="11">
        <v>1.65</v>
      </c>
      <c r="I103" s="34">
        <v>1.04742</v>
      </c>
      <c r="J103" s="4"/>
      <c r="K103" s="22"/>
    </row>
    <row r="104" spans="1:11" x14ac:dyDescent="0.2">
      <c r="A104" s="45"/>
      <c r="B104" s="6"/>
      <c r="C104" s="3"/>
      <c r="D104" s="4"/>
      <c r="E104" s="3"/>
      <c r="F104" s="14"/>
      <c r="G104" s="14"/>
      <c r="H104" s="11"/>
      <c r="I104" s="34"/>
      <c r="J104" s="4"/>
      <c r="K104" s="22"/>
    </row>
    <row r="105" spans="1:11" s="23" customFormat="1" ht="19" x14ac:dyDescent="0.2">
      <c r="A105" s="45" t="s">
        <v>74</v>
      </c>
      <c r="B105" s="7" t="s">
        <v>38</v>
      </c>
      <c r="C105" s="19"/>
      <c r="D105" s="2"/>
      <c r="E105" s="19"/>
      <c r="F105" s="15"/>
      <c r="G105" s="15"/>
      <c r="H105" s="15"/>
      <c r="I105" s="31">
        <f>I106+I107+I108+I109</f>
        <v>7.7472000000000003</v>
      </c>
      <c r="J105" s="2" t="s">
        <v>49</v>
      </c>
      <c r="K105" s="25"/>
    </row>
    <row r="106" spans="1:11" x14ac:dyDescent="0.2">
      <c r="A106" s="45">
        <v>1</v>
      </c>
      <c r="B106" s="6" t="s">
        <v>27</v>
      </c>
      <c r="C106" s="3">
        <v>2</v>
      </c>
      <c r="D106" s="4" t="s">
        <v>7</v>
      </c>
      <c r="E106" s="3">
        <v>13</v>
      </c>
      <c r="F106" s="14">
        <v>0.3</v>
      </c>
      <c r="G106" s="14">
        <v>0.45</v>
      </c>
      <c r="H106" s="11">
        <v>1.5</v>
      </c>
      <c r="I106" s="34">
        <v>5.2649999999999997</v>
      </c>
      <c r="J106" s="4"/>
      <c r="K106" s="22"/>
    </row>
    <row r="107" spans="1:11" x14ac:dyDescent="0.2">
      <c r="A107" s="45">
        <v>2</v>
      </c>
      <c r="B107" s="6" t="s">
        <v>28</v>
      </c>
      <c r="C107" s="3">
        <v>2</v>
      </c>
      <c r="D107" s="4" t="s">
        <v>7</v>
      </c>
      <c r="E107" s="3">
        <v>2</v>
      </c>
      <c r="F107" s="14">
        <v>0.34</v>
      </c>
      <c r="G107" s="14">
        <v>0.45</v>
      </c>
      <c r="H107" s="11">
        <v>1.5</v>
      </c>
      <c r="I107" s="34">
        <v>0.91800000000000015</v>
      </c>
      <c r="J107" s="4"/>
      <c r="K107" s="22"/>
    </row>
    <row r="108" spans="1:11" x14ac:dyDescent="0.2">
      <c r="A108" s="45">
        <v>3</v>
      </c>
      <c r="B108" s="6" t="s">
        <v>29</v>
      </c>
      <c r="C108" s="3">
        <v>2</v>
      </c>
      <c r="D108" s="4" t="s">
        <v>7</v>
      </c>
      <c r="E108" s="3">
        <v>2</v>
      </c>
      <c r="F108" s="14">
        <v>0.34</v>
      </c>
      <c r="G108" s="14">
        <v>0.3</v>
      </c>
      <c r="H108" s="11">
        <v>1.5</v>
      </c>
      <c r="I108" s="34">
        <v>0.6120000000000001</v>
      </c>
      <c r="J108" s="22"/>
      <c r="K108" s="22"/>
    </row>
    <row r="109" spans="1:11" x14ac:dyDescent="0.2">
      <c r="A109" s="45">
        <v>4</v>
      </c>
      <c r="B109" s="6" t="s">
        <v>30</v>
      </c>
      <c r="C109" s="3">
        <v>1</v>
      </c>
      <c r="D109" s="4" t="s">
        <v>7</v>
      </c>
      <c r="E109" s="3">
        <v>12</v>
      </c>
      <c r="F109" s="14">
        <v>0.23</v>
      </c>
      <c r="G109" s="14">
        <v>0.23</v>
      </c>
      <c r="H109" s="11">
        <v>1.5</v>
      </c>
      <c r="I109" s="34">
        <v>0.95220000000000005</v>
      </c>
      <c r="J109" s="4"/>
      <c r="K109" s="22"/>
    </row>
    <row r="110" spans="1:11" x14ac:dyDescent="0.2">
      <c r="A110" s="44" t="s">
        <v>97</v>
      </c>
      <c r="B110" s="51"/>
      <c r="C110" s="17"/>
      <c r="D110" s="17"/>
      <c r="E110" s="17"/>
      <c r="F110" s="17"/>
      <c r="G110" s="17"/>
      <c r="H110" s="17"/>
      <c r="I110" s="28"/>
      <c r="J110" s="17"/>
      <c r="K110" s="37"/>
    </row>
    <row r="111" spans="1:11" s="66" customFormat="1" ht="15" customHeight="1" x14ac:dyDescent="0.2">
      <c r="A111" s="61" t="s">
        <v>61</v>
      </c>
      <c r="B111" s="64" t="s">
        <v>78</v>
      </c>
      <c r="C111" s="59"/>
      <c r="D111" s="59"/>
      <c r="E111" s="59"/>
      <c r="F111" s="59"/>
      <c r="G111" s="59"/>
      <c r="H111" s="59"/>
      <c r="I111" s="60">
        <v>55.749412345678998</v>
      </c>
      <c r="J111" s="57" t="s">
        <v>19</v>
      </c>
      <c r="K111" s="65" t="s">
        <v>57</v>
      </c>
    </row>
    <row r="112" spans="1:11" s="23" customFormat="1" x14ac:dyDescent="0.2">
      <c r="A112" s="45" t="s">
        <v>69</v>
      </c>
      <c r="B112" s="7" t="s">
        <v>5</v>
      </c>
      <c r="C112" s="7"/>
      <c r="D112" s="7"/>
      <c r="E112" s="7"/>
      <c r="F112" s="7"/>
      <c r="G112" s="7"/>
      <c r="H112" s="7"/>
      <c r="I112" s="31">
        <v>21.162093827160493</v>
      </c>
      <c r="J112" s="2" t="s">
        <v>19</v>
      </c>
      <c r="K112" s="25"/>
    </row>
    <row r="113" spans="1:11" x14ac:dyDescent="0.2">
      <c r="A113" s="45">
        <v>1</v>
      </c>
      <c r="B113" s="6" t="s">
        <v>39</v>
      </c>
      <c r="C113" s="3"/>
      <c r="D113" s="4"/>
      <c r="E113" s="3"/>
      <c r="F113" s="11"/>
      <c r="G113" s="11"/>
      <c r="H113" s="10"/>
      <c r="I113" s="34">
        <v>21.162093827160493</v>
      </c>
      <c r="J113" s="16"/>
      <c r="K113" s="22"/>
    </row>
    <row r="114" spans="1:11" x14ac:dyDescent="0.2">
      <c r="A114" s="45"/>
      <c r="B114" s="18"/>
      <c r="C114" s="18"/>
      <c r="D114" s="18"/>
      <c r="E114" s="18"/>
      <c r="F114" s="18"/>
      <c r="G114" s="18"/>
      <c r="H114" s="18"/>
      <c r="I114" s="32"/>
      <c r="J114" s="22"/>
      <c r="K114" s="22"/>
    </row>
    <row r="115" spans="1:11" s="23" customFormat="1" x14ac:dyDescent="0.2">
      <c r="A115" s="45" t="s">
        <v>1</v>
      </c>
      <c r="B115" s="7" t="s">
        <v>15</v>
      </c>
      <c r="C115" s="19"/>
      <c r="D115" s="2"/>
      <c r="E115" s="19"/>
      <c r="F115" s="15"/>
      <c r="G115" s="15"/>
      <c r="H115" s="15"/>
      <c r="I115" s="31">
        <v>34.587318518518515</v>
      </c>
      <c r="J115" s="2" t="s">
        <v>19</v>
      </c>
      <c r="K115" s="25"/>
    </row>
    <row r="116" spans="1:11" x14ac:dyDescent="0.2">
      <c r="A116" s="45">
        <v>1</v>
      </c>
      <c r="B116" s="6" t="s">
        <v>39</v>
      </c>
      <c r="C116" s="3"/>
      <c r="D116" s="4"/>
      <c r="E116" s="3"/>
      <c r="F116" s="11"/>
      <c r="G116" s="11"/>
      <c r="H116" s="10"/>
      <c r="I116" s="34">
        <v>34.587318518518515</v>
      </c>
      <c r="J116" s="16"/>
      <c r="K116" s="22"/>
    </row>
    <row r="117" spans="1:11" x14ac:dyDescent="0.2">
      <c r="A117" s="44" t="s">
        <v>98</v>
      </c>
      <c r="B117" s="51"/>
      <c r="C117" s="17"/>
      <c r="D117" s="17"/>
      <c r="E117" s="17"/>
      <c r="F117" s="17"/>
      <c r="G117" s="17"/>
      <c r="H117" s="17"/>
      <c r="I117" s="28"/>
      <c r="J117" s="17"/>
      <c r="K117" s="37"/>
    </row>
    <row r="118" spans="1:11" s="66" customFormat="1" ht="15" customHeight="1" x14ac:dyDescent="0.2">
      <c r="A118" s="61" t="s">
        <v>62</v>
      </c>
      <c r="B118" s="64" t="s">
        <v>79</v>
      </c>
      <c r="C118" s="59"/>
      <c r="D118" s="59"/>
      <c r="E118" s="59"/>
      <c r="F118" s="59"/>
      <c r="G118" s="59"/>
      <c r="H118" s="59"/>
      <c r="I118" s="60">
        <v>380.70600000000002</v>
      </c>
      <c r="J118" s="57" t="s">
        <v>86</v>
      </c>
      <c r="K118" s="65" t="s">
        <v>57</v>
      </c>
    </row>
    <row r="119" spans="1:11" s="23" customFormat="1" ht="19" x14ac:dyDescent="0.2">
      <c r="A119" s="45" t="s">
        <v>69</v>
      </c>
      <c r="B119" s="7" t="s">
        <v>50</v>
      </c>
      <c r="C119" s="7"/>
      <c r="D119" s="7"/>
      <c r="E119" s="7"/>
      <c r="F119" s="7"/>
      <c r="G119" s="7"/>
      <c r="H119" s="7"/>
      <c r="I119" s="31">
        <v>149.38800000000001</v>
      </c>
      <c r="J119" s="2" t="s">
        <v>55</v>
      </c>
      <c r="K119" s="25"/>
    </row>
    <row r="120" spans="1:11" x14ac:dyDescent="0.2">
      <c r="A120" s="45">
        <v>1</v>
      </c>
      <c r="B120" s="6" t="s">
        <v>40</v>
      </c>
      <c r="C120" s="3">
        <v>1</v>
      </c>
      <c r="D120" s="4" t="s">
        <v>7</v>
      </c>
      <c r="E120" s="3">
        <v>2</v>
      </c>
      <c r="F120" s="11">
        <v>113.42</v>
      </c>
      <c r="G120" s="11"/>
      <c r="H120" s="11">
        <v>0.45</v>
      </c>
      <c r="I120" s="34">
        <v>102.078</v>
      </c>
      <c r="J120" s="4"/>
      <c r="K120" s="22"/>
    </row>
    <row r="121" spans="1:11" x14ac:dyDescent="0.2">
      <c r="A121" s="45">
        <v>2</v>
      </c>
      <c r="B121" s="6" t="s">
        <v>41</v>
      </c>
      <c r="C121" s="3">
        <v>2</v>
      </c>
      <c r="D121" s="4" t="s">
        <v>7</v>
      </c>
      <c r="E121" s="3">
        <v>2</v>
      </c>
      <c r="F121" s="11">
        <v>14.25</v>
      </c>
      <c r="G121" s="11"/>
      <c r="H121" s="11">
        <v>0.45</v>
      </c>
      <c r="I121" s="34">
        <v>25.650000000000002</v>
      </c>
      <c r="J121" s="4"/>
      <c r="K121" s="22"/>
    </row>
    <row r="122" spans="1:11" x14ac:dyDescent="0.2">
      <c r="A122" s="45">
        <v>3</v>
      </c>
      <c r="B122" s="6" t="s">
        <v>11</v>
      </c>
      <c r="C122" s="3">
        <v>2</v>
      </c>
      <c r="D122" s="4" t="s">
        <v>7</v>
      </c>
      <c r="E122" s="3">
        <v>2</v>
      </c>
      <c r="F122" s="11">
        <v>14.25</v>
      </c>
      <c r="G122" s="11"/>
      <c r="H122" s="11">
        <v>0.38</v>
      </c>
      <c r="I122" s="34">
        <v>21.66</v>
      </c>
      <c r="J122" s="4"/>
      <c r="K122" s="22"/>
    </row>
    <row r="123" spans="1:11" x14ac:dyDescent="0.2">
      <c r="A123" s="45"/>
      <c r="B123" s="18"/>
      <c r="C123" s="18"/>
      <c r="D123" s="18"/>
      <c r="E123" s="18"/>
      <c r="F123" s="18"/>
      <c r="G123" s="18"/>
      <c r="H123" s="18"/>
      <c r="I123" s="32"/>
      <c r="J123" s="22"/>
      <c r="K123" s="22"/>
    </row>
    <row r="124" spans="1:11" s="23" customFormat="1" ht="19" x14ac:dyDescent="0.2">
      <c r="A124" s="45" t="s">
        <v>1</v>
      </c>
      <c r="B124" s="7" t="s">
        <v>51</v>
      </c>
      <c r="C124" s="7"/>
      <c r="D124" s="7"/>
      <c r="E124" s="7"/>
      <c r="F124" s="7"/>
      <c r="G124" s="7"/>
      <c r="H124" s="7"/>
      <c r="I124" s="33">
        <v>231.31799999999998</v>
      </c>
      <c r="J124" s="2" t="s">
        <v>55</v>
      </c>
      <c r="K124" s="25"/>
    </row>
    <row r="125" spans="1:11" x14ac:dyDescent="0.2">
      <c r="A125" s="45">
        <v>1</v>
      </c>
      <c r="B125" s="6" t="s">
        <v>40</v>
      </c>
      <c r="C125" s="3">
        <v>1</v>
      </c>
      <c r="D125" s="4" t="s">
        <v>7</v>
      </c>
      <c r="E125" s="3">
        <v>2</v>
      </c>
      <c r="F125" s="14">
        <v>156.32</v>
      </c>
      <c r="G125" s="9"/>
      <c r="H125" s="14">
        <v>0.45</v>
      </c>
      <c r="I125" s="34">
        <v>140.68799999999999</v>
      </c>
      <c r="J125" s="4"/>
      <c r="K125" s="22"/>
    </row>
    <row r="126" spans="1:11" x14ac:dyDescent="0.2">
      <c r="A126" s="45">
        <v>2</v>
      </c>
      <c r="B126" s="6" t="s">
        <v>41</v>
      </c>
      <c r="C126" s="3">
        <v>2</v>
      </c>
      <c r="D126" s="4" t="s">
        <v>7</v>
      </c>
      <c r="E126" s="3">
        <v>2</v>
      </c>
      <c r="F126" s="14">
        <v>14.25</v>
      </c>
      <c r="G126" s="9"/>
      <c r="H126" s="14">
        <v>0.45</v>
      </c>
      <c r="I126" s="34">
        <v>25.650000000000002</v>
      </c>
      <c r="J126" s="4"/>
      <c r="K126" s="22"/>
    </row>
    <row r="127" spans="1:11" x14ac:dyDescent="0.2">
      <c r="A127" s="45">
        <v>3</v>
      </c>
      <c r="B127" s="6" t="s">
        <v>11</v>
      </c>
      <c r="C127" s="3">
        <v>6</v>
      </c>
      <c r="D127" s="4" t="s">
        <v>7</v>
      </c>
      <c r="E127" s="3">
        <v>2</v>
      </c>
      <c r="F127" s="14">
        <v>14.25</v>
      </c>
      <c r="G127" s="9"/>
      <c r="H127" s="14">
        <v>0.38</v>
      </c>
      <c r="I127" s="34">
        <v>64.98</v>
      </c>
      <c r="J127" s="4"/>
      <c r="K127" s="22"/>
    </row>
    <row r="128" spans="1:11" s="66" customFormat="1" ht="15" customHeight="1" x14ac:dyDescent="0.2">
      <c r="A128" s="61" t="s">
        <v>64</v>
      </c>
      <c r="B128" s="64" t="s">
        <v>81</v>
      </c>
      <c r="C128" s="59"/>
      <c r="D128" s="59"/>
      <c r="E128" s="59"/>
      <c r="F128" s="59"/>
      <c r="G128" s="59"/>
      <c r="H128" s="59"/>
      <c r="I128" s="60">
        <v>64.720020000000005</v>
      </c>
      <c r="J128" s="57" t="s">
        <v>86</v>
      </c>
      <c r="K128" s="65" t="s">
        <v>57</v>
      </c>
    </row>
    <row r="129" spans="1:11" s="23" customFormat="1" ht="19" x14ac:dyDescent="0.2">
      <c r="A129" s="45" t="s">
        <v>69</v>
      </c>
      <c r="B129" s="7" t="s">
        <v>52</v>
      </c>
      <c r="C129" s="7"/>
      <c r="D129" s="7"/>
      <c r="E129" s="7"/>
      <c r="F129" s="7"/>
      <c r="G129" s="7"/>
      <c r="H129" s="7"/>
      <c r="I129" s="31">
        <v>25.395960000000006</v>
      </c>
      <c r="J129" s="2" t="s">
        <v>49</v>
      </c>
      <c r="K129" s="25"/>
    </row>
    <row r="130" spans="1:11" x14ac:dyDescent="0.2">
      <c r="A130" s="45">
        <v>1</v>
      </c>
      <c r="B130" s="6" t="s">
        <v>10</v>
      </c>
      <c r="C130" s="3">
        <v>1</v>
      </c>
      <c r="D130" s="4" t="s">
        <v>7</v>
      </c>
      <c r="E130" s="3">
        <v>1</v>
      </c>
      <c r="F130" s="11">
        <v>113.42</v>
      </c>
      <c r="G130" s="11">
        <v>0.34</v>
      </c>
      <c r="H130" s="11">
        <v>0.45</v>
      </c>
      <c r="I130" s="34">
        <v>17.353260000000002</v>
      </c>
      <c r="J130" s="5"/>
      <c r="K130" s="22"/>
    </row>
    <row r="131" spans="1:11" x14ac:dyDescent="0.2">
      <c r="A131" s="45">
        <v>2</v>
      </c>
      <c r="B131" s="6" t="s">
        <v>41</v>
      </c>
      <c r="C131" s="3">
        <v>1</v>
      </c>
      <c r="D131" s="4" t="s">
        <v>7</v>
      </c>
      <c r="E131" s="3">
        <v>2</v>
      </c>
      <c r="F131" s="11">
        <v>14.25</v>
      </c>
      <c r="G131" s="11">
        <v>0.34</v>
      </c>
      <c r="H131" s="11">
        <v>0.45</v>
      </c>
      <c r="I131" s="34">
        <v>4.3605000000000009</v>
      </c>
      <c r="J131" s="5"/>
      <c r="K131" s="22"/>
    </row>
    <row r="132" spans="1:11" x14ac:dyDescent="0.2">
      <c r="A132" s="45">
        <v>3</v>
      </c>
      <c r="B132" s="6" t="s">
        <v>11</v>
      </c>
      <c r="C132" s="3">
        <v>1</v>
      </c>
      <c r="D132" s="4" t="s">
        <v>7</v>
      </c>
      <c r="E132" s="3">
        <v>2</v>
      </c>
      <c r="F132" s="11">
        <v>14.25</v>
      </c>
      <c r="G132" s="11">
        <v>0.34</v>
      </c>
      <c r="H132" s="11">
        <v>0.38</v>
      </c>
      <c r="I132" s="34">
        <v>3.6822000000000004</v>
      </c>
      <c r="J132" s="5"/>
      <c r="K132" s="22"/>
    </row>
    <row r="133" spans="1:11" x14ac:dyDescent="0.2">
      <c r="A133" s="45"/>
      <c r="B133" s="18"/>
      <c r="C133" s="18"/>
      <c r="D133" s="18"/>
      <c r="E133" s="18"/>
      <c r="F133" s="18"/>
      <c r="G133" s="18"/>
      <c r="H133" s="18"/>
      <c r="I133" s="32"/>
      <c r="J133" s="22"/>
      <c r="K133" s="22"/>
    </row>
    <row r="134" spans="1:11" s="23" customFormat="1" ht="19" x14ac:dyDescent="0.2">
      <c r="A134" s="45" t="s">
        <v>1</v>
      </c>
      <c r="B134" s="7" t="s">
        <v>51</v>
      </c>
      <c r="C134" s="7"/>
      <c r="D134" s="7"/>
      <c r="E134" s="7"/>
      <c r="F134" s="7"/>
      <c r="G134" s="7"/>
      <c r="H134" s="7"/>
      <c r="I134" s="31">
        <v>39.324060000000003</v>
      </c>
      <c r="J134" s="2" t="s">
        <v>49</v>
      </c>
      <c r="K134" s="25"/>
    </row>
    <row r="135" spans="1:11" x14ac:dyDescent="0.2">
      <c r="A135" s="45">
        <v>1</v>
      </c>
      <c r="B135" s="6" t="s">
        <v>10</v>
      </c>
      <c r="C135" s="3">
        <v>1</v>
      </c>
      <c r="D135" s="4" t="s">
        <v>7</v>
      </c>
      <c r="E135" s="3">
        <v>1</v>
      </c>
      <c r="F135" s="14">
        <v>156.32</v>
      </c>
      <c r="G135" s="14">
        <v>0.34</v>
      </c>
      <c r="H135" s="14">
        <v>0.45</v>
      </c>
      <c r="I135" s="34">
        <v>23.91696</v>
      </c>
      <c r="J135" s="4"/>
      <c r="K135" s="22"/>
    </row>
    <row r="136" spans="1:11" x14ac:dyDescent="0.2">
      <c r="A136" s="45">
        <v>2</v>
      </c>
      <c r="B136" s="6" t="s">
        <v>41</v>
      </c>
      <c r="C136" s="3">
        <v>1</v>
      </c>
      <c r="D136" s="4" t="s">
        <v>7</v>
      </c>
      <c r="E136" s="3">
        <v>2</v>
      </c>
      <c r="F136" s="14">
        <v>14.25</v>
      </c>
      <c r="G136" s="14">
        <v>0.34</v>
      </c>
      <c r="H136" s="14">
        <v>0.45</v>
      </c>
      <c r="I136" s="34">
        <v>4.3605000000000009</v>
      </c>
      <c r="J136" s="4"/>
      <c r="K136" s="22"/>
    </row>
    <row r="137" spans="1:11" x14ac:dyDescent="0.2">
      <c r="A137" s="45">
        <v>3</v>
      </c>
      <c r="B137" s="6" t="s">
        <v>11</v>
      </c>
      <c r="C137" s="3">
        <v>1</v>
      </c>
      <c r="D137" s="4" t="s">
        <v>7</v>
      </c>
      <c r="E137" s="3">
        <v>6</v>
      </c>
      <c r="F137" s="14">
        <v>14.25</v>
      </c>
      <c r="G137" s="14">
        <v>0.34</v>
      </c>
      <c r="H137" s="14">
        <v>0.38</v>
      </c>
      <c r="I137" s="34">
        <v>11.046600000000002</v>
      </c>
      <c r="J137" s="4"/>
      <c r="K137" s="22"/>
    </row>
    <row r="138" spans="1:11" x14ac:dyDescent="0.2">
      <c r="A138" s="44" t="s">
        <v>98</v>
      </c>
      <c r="B138" s="51"/>
      <c r="C138" s="17"/>
      <c r="D138" s="17"/>
      <c r="E138" s="17"/>
      <c r="F138" s="17"/>
      <c r="G138" s="17"/>
      <c r="H138" s="17"/>
      <c r="I138" s="28"/>
      <c r="J138" s="17"/>
      <c r="K138" s="37"/>
    </row>
    <row r="139" spans="1:11" s="66" customFormat="1" ht="15" customHeight="1" x14ac:dyDescent="0.2">
      <c r="A139" s="61" t="s">
        <v>65</v>
      </c>
      <c r="B139" s="64" t="s">
        <v>82</v>
      </c>
      <c r="C139" s="59"/>
      <c r="D139" s="59"/>
      <c r="E139" s="59"/>
      <c r="F139" s="59"/>
      <c r="G139" s="59"/>
      <c r="H139" s="59"/>
      <c r="I139" s="60">
        <v>181.40699999999998</v>
      </c>
      <c r="J139" s="57" t="s">
        <v>86</v>
      </c>
      <c r="K139" s="65" t="s">
        <v>57</v>
      </c>
    </row>
    <row r="140" spans="1:11" s="23" customFormat="1" ht="19" x14ac:dyDescent="0.2">
      <c r="A140" s="42" t="s">
        <v>69</v>
      </c>
      <c r="B140" s="7" t="s">
        <v>53</v>
      </c>
      <c r="C140" s="7"/>
      <c r="D140" s="7"/>
      <c r="E140" s="7"/>
      <c r="F140" s="7"/>
      <c r="G140" s="7"/>
      <c r="H140" s="7"/>
      <c r="I140" s="35">
        <v>66.248999999999995</v>
      </c>
      <c r="J140" s="2" t="s">
        <v>49</v>
      </c>
      <c r="K140" s="25"/>
    </row>
    <row r="141" spans="1:11" x14ac:dyDescent="0.2">
      <c r="A141" s="42">
        <v>1</v>
      </c>
      <c r="B141" s="6" t="s">
        <v>43</v>
      </c>
      <c r="C141" s="3">
        <v>2</v>
      </c>
      <c r="D141" s="4" t="s">
        <v>7</v>
      </c>
      <c r="E141" s="3">
        <v>9</v>
      </c>
      <c r="F141" s="11">
        <v>4.25</v>
      </c>
      <c r="G141" s="11">
        <v>0.34</v>
      </c>
      <c r="H141" s="11">
        <v>1.5</v>
      </c>
      <c r="I141" s="34">
        <v>39.015000000000001</v>
      </c>
      <c r="J141" s="5"/>
      <c r="K141" s="22"/>
    </row>
    <row r="142" spans="1:11" x14ac:dyDescent="0.2">
      <c r="A142" s="42">
        <v>2</v>
      </c>
      <c r="B142" s="6" t="s">
        <v>44</v>
      </c>
      <c r="C142" s="3">
        <v>4</v>
      </c>
      <c r="D142" s="4" t="s">
        <v>7</v>
      </c>
      <c r="E142" s="3">
        <v>3</v>
      </c>
      <c r="F142" s="11">
        <v>4.45</v>
      </c>
      <c r="G142" s="11">
        <v>0.34</v>
      </c>
      <c r="H142" s="11">
        <v>1.5</v>
      </c>
      <c r="I142" s="34">
        <v>27.234000000000002</v>
      </c>
      <c r="J142" s="5"/>
      <c r="K142" s="22"/>
    </row>
    <row r="143" spans="1:11" x14ac:dyDescent="0.2">
      <c r="A143" s="42"/>
      <c r="B143" s="18"/>
      <c r="C143" s="18"/>
      <c r="D143" s="18"/>
      <c r="E143" s="18"/>
      <c r="F143" s="18"/>
      <c r="G143" s="18"/>
      <c r="H143" s="18"/>
      <c r="I143" s="32"/>
      <c r="J143" s="22"/>
      <c r="K143" s="22"/>
    </row>
    <row r="144" spans="1:11" s="23" customFormat="1" ht="19" x14ac:dyDescent="0.2">
      <c r="A144" s="42" t="s">
        <v>1</v>
      </c>
      <c r="B144" s="7" t="s">
        <v>54</v>
      </c>
      <c r="C144" s="7"/>
      <c r="D144" s="7"/>
      <c r="E144" s="7"/>
      <c r="F144" s="7"/>
      <c r="G144" s="7"/>
      <c r="H144" s="7"/>
      <c r="I144" s="35">
        <v>115.158</v>
      </c>
      <c r="J144" s="2" t="s">
        <v>49</v>
      </c>
      <c r="K144" s="25"/>
    </row>
    <row r="145" spans="1:11" x14ac:dyDescent="0.2">
      <c r="A145" s="47">
        <v>1</v>
      </c>
      <c r="B145" s="6" t="s">
        <v>45</v>
      </c>
      <c r="C145" s="3">
        <v>2</v>
      </c>
      <c r="D145" s="4" t="s">
        <v>7</v>
      </c>
      <c r="E145" s="3">
        <v>14</v>
      </c>
      <c r="F145" s="14">
        <v>4.25</v>
      </c>
      <c r="G145" s="11">
        <v>0.34</v>
      </c>
      <c r="H145" s="14">
        <v>1.5</v>
      </c>
      <c r="I145" s="34">
        <v>60.69</v>
      </c>
      <c r="J145" s="5"/>
      <c r="K145" s="22"/>
    </row>
    <row r="146" spans="1:11" x14ac:dyDescent="0.2">
      <c r="A146" s="47">
        <v>2</v>
      </c>
      <c r="B146" s="6" t="s">
        <v>44</v>
      </c>
      <c r="C146" s="3">
        <v>8</v>
      </c>
      <c r="D146" s="4" t="s">
        <v>7</v>
      </c>
      <c r="E146" s="3">
        <v>3</v>
      </c>
      <c r="F146" s="14">
        <v>4.45</v>
      </c>
      <c r="G146" s="11">
        <v>0.34</v>
      </c>
      <c r="H146" s="14">
        <v>1.5</v>
      </c>
      <c r="I146" s="34">
        <v>54.468000000000004</v>
      </c>
      <c r="J146" s="5"/>
      <c r="K146" s="22"/>
    </row>
    <row r="147" spans="1:11" x14ac:dyDescent="0.2">
      <c r="A147" s="44" t="s">
        <v>99</v>
      </c>
      <c r="B147" s="51"/>
      <c r="C147" s="17"/>
      <c r="D147" s="17"/>
      <c r="E147" s="17"/>
      <c r="F147" s="17"/>
      <c r="G147" s="17"/>
      <c r="H147" s="17"/>
      <c r="I147" s="28"/>
      <c r="J147" s="17"/>
      <c r="K147" s="37"/>
    </row>
    <row r="148" spans="1:11" s="66" customFormat="1" ht="15" customHeight="1" x14ac:dyDescent="0.2">
      <c r="A148" s="61" t="s">
        <v>66</v>
      </c>
      <c r="B148" s="64" t="s">
        <v>83</v>
      </c>
      <c r="C148" s="63"/>
      <c r="D148" s="63"/>
      <c r="E148" s="63"/>
      <c r="F148" s="63"/>
      <c r="G148" s="63"/>
      <c r="H148" s="63"/>
      <c r="I148" s="60">
        <v>269.32499999999999</v>
      </c>
      <c r="J148" s="57" t="s">
        <v>86</v>
      </c>
      <c r="K148" s="65" t="s">
        <v>57</v>
      </c>
    </row>
    <row r="149" spans="1:11" s="23" customFormat="1" ht="19" x14ac:dyDescent="0.2">
      <c r="A149" s="42" t="s">
        <v>69</v>
      </c>
      <c r="B149" s="7" t="s">
        <v>5</v>
      </c>
      <c r="C149" s="7"/>
      <c r="D149" s="7"/>
      <c r="E149" s="7"/>
      <c r="F149" s="7"/>
      <c r="G149" s="7"/>
      <c r="H149" s="7"/>
      <c r="I149" s="31">
        <v>107.72999999999999</v>
      </c>
      <c r="J149" s="2" t="s">
        <v>49</v>
      </c>
      <c r="K149" s="25"/>
    </row>
    <row r="150" spans="1:11" x14ac:dyDescent="0.2">
      <c r="A150" s="42">
        <v>1</v>
      </c>
      <c r="B150" s="6" t="s">
        <v>46</v>
      </c>
      <c r="C150" s="3">
        <v>1</v>
      </c>
      <c r="D150" s="4" t="s">
        <v>7</v>
      </c>
      <c r="E150" s="3">
        <v>1</v>
      </c>
      <c r="F150" s="11">
        <v>42</v>
      </c>
      <c r="G150" s="11">
        <v>14.25</v>
      </c>
      <c r="H150" s="11">
        <v>0.18</v>
      </c>
      <c r="I150" s="34">
        <v>107.72999999999999</v>
      </c>
      <c r="J150" s="4"/>
      <c r="K150" s="22"/>
    </row>
    <row r="151" spans="1:11" x14ac:dyDescent="0.2">
      <c r="A151" s="42"/>
      <c r="B151" s="18"/>
      <c r="C151" s="18"/>
      <c r="D151" s="18"/>
      <c r="E151" s="18"/>
      <c r="F151" s="18"/>
      <c r="G151" s="18"/>
      <c r="H151" s="18"/>
      <c r="I151" s="32"/>
      <c r="J151" s="22"/>
      <c r="K151" s="22"/>
    </row>
    <row r="152" spans="1:11" s="23" customFormat="1" ht="19" x14ac:dyDescent="0.2">
      <c r="A152" s="42" t="s">
        <v>1</v>
      </c>
      <c r="B152" s="7" t="s">
        <v>15</v>
      </c>
      <c r="C152" s="19"/>
      <c r="D152" s="2"/>
      <c r="E152" s="19"/>
      <c r="F152" s="15"/>
      <c r="G152" s="15"/>
      <c r="H152" s="15"/>
      <c r="I152" s="33">
        <v>161.595</v>
      </c>
      <c r="J152" s="2" t="s">
        <v>49</v>
      </c>
      <c r="K152" s="25"/>
    </row>
    <row r="153" spans="1:11" x14ac:dyDescent="0.2">
      <c r="A153" s="42">
        <v>1</v>
      </c>
      <c r="B153" s="6" t="s">
        <v>46</v>
      </c>
      <c r="C153" s="3">
        <v>1</v>
      </c>
      <c r="D153" s="4" t="s">
        <v>7</v>
      </c>
      <c r="E153" s="3">
        <v>1</v>
      </c>
      <c r="F153" s="14">
        <v>63</v>
      </c>
      <c r="G153" s="14">
        <v>14.25</v>
      </c>
      <c r="H153" s="11">
        <v>0.18</v>
      </c>
      <c r="I153" s="34">
        <v>161.595</v>
      </c>
      <c r="J153" s="4"/>
      <c r="K153" s="22"/>
    </row>
    <row r="154" spans="1:11" x14ac:dyDescent="0.2">
      <c r="A154" s="44" t="s">
        <v>100</v>
      </c>
      <c r="B154" s="51"/>
      <c r="C154" s="17"/>
      <c r="D154" s="17"/>
      <c r="E154" s="17"/>
      <c r="F154" s="17"/>
      <c r="G154" s="17"/>
      <c r="H154" s="17"/>
      <c r="I154" s="28"/>
      <c r="J154" s="17"/>
      <c r="K154" s="37"/>
    </row>
    <row r="155" spans="1:11" s="66" customFormat="1" ht="15" customHeight="1" x14ac:dyDescent="0.2">
      <c r="A155" s="61" t="s">
        <v>67</v>
      </c>
      <c r="B155" s="64" t="s">
        <v>84</v>
      </c>
      <c r="C155" s="63"/>
      <c r="D155" s="63"/>
      <c r="E155" s="63"/>
      <c r="F155" s="63"/>
      <c r="G155" s="63"/>
      <c r="H155" s="63"/>
      <c r="I155" s="60">
        <v>822.9375</v>
      </c>
      <c r="J155" s="57" t="s">
        <v>86</v>
      </c>
      <c r="K155" s="65" t="s">
        <v>57</v>
      </c>
    </row>
    <row r="156" spans="1:11" s="23" customFormat="1" ht="19" x14ac:dyDescent="0.2">
      <c r="A156" s="45" t="s">
        <v>69</v>
      </c>
      <c r="B156" s="7" t="s">
        <v>5</v>
      </c>
      <c r="C156" s="7"/>
      <c r="D156" s="7"/>
      <c r="E156" s="7"/>
      <c r="F156" s="7"/>
      <c r="G156" s="7"/>
      <c r="H156" s="7"/>
      <c r="I156" s="31">
        <v>329.17500000000001</v>
      </c>
      <c r="J156" s="2" t="s">
        <v>49</v>
      </c>
      <c r="K156" s="25"/>
    </row>
    <row r="157" spans="1:11" x14ac:dyDescent="0.2">
      <c r="A157" s="45">
        <v>1</v>
      </c>
      <c r="B157" s="6" t="s">
        <v>46</v>
      </c>
      <c r="C157" s="3">
        <v>1</v>
      </c>
      <c r="D157" s="4" t="s">
        <v>7</v>
      </c>
      <c r="E157" s="3">
        <v>1</v>
      </c>
      <c r="F157" s="11">
        <v>42</v>
      </c>
      <c r="G157" s="11">
        <v>14.25</v>
      </c>
      <c r="H157" s="11">
        <v>0.55000000000000004</v>
      </c>
      <c r="I157" s="34">
        <v>329.17500000000001</v>
      </c>
      <c r="J157" s="4"/>
      <c r="K157" s="22"/>
    </row>
    <row r="158" spans="1:11" x14ac:dyDescent="0.2">
      <c r="A158" s="45"/>
      <c r="B158" s="18"/>
      <c r="C158" s="18"/>
      <c r="D158" s="18"/>
      <c r="E158" s="18"/>
      <c r="F158" s="18"/>
      <c r="G158" s="18"/>
      <c r="H158" s="18"/>
      <c r="I158" s="32"/>
      <c r="J158" s="22"/>
      <c r="K158" s="22"/>
    </row>
    <row r="159" spans="1:11" s="23" customFormat="1" ht="19" x14ac:dyDescent="0.2">
      <c r="A159" s="45" t="s">
        <v>1</v>
      </c>
      <c r="B159" s="7" t="s">
        <v>15</v>
      </c>
      <c r="C159" s="7"/>
      <c r="D159" s="7"/>
      <c r="E159" s="7"/>
      <c r="F159" s="7"/>
      <c r="G159" s="7"/>
      <c r="H159" s="7"/>
      <c r="I159" s="31">
        <v>493.76250000000005</v>
      </c>
      <c r="J159" s="2" t="s">
        <v>49</v>
      </c>
      <c r="K159" s="25"/>
    </row>
    <row r="160" spans="1:11" x14ac:dyDescent="0.2">
      <c r="A160" s="45">
        <v>1</v>
      </c>
      <c r="B160" s="6" t="s">
        <v>46</v>
      </c>
      <c r="C160" s="3">
        <v>1</v>
      </c>
      <c r="D160" s="4" t="s">
        <v>7</v>
      </c>
      <c r="E160" s="3">
        <v>1</v>
      </c>
      <c r="F160" s="11">
        <v>63</v>
      </c>
      <c r="G160" s="11">
        <v>14.25</v>
      </c>
      <c r="H160" s="11">
        <v>0.55000000000000004</v>
      </c>
      <c r="I160" s="34">
        <v>493.76250000000005</v>
      </c>
      <c r="J160" s="4"/>
      <c r="K160" s="22"/>
    </row>
    <row r="161" spans="1:11" x14ac:dyDescent="0.2">
      <c r="A161" s="44" t="s">
        <v>101</v>
      </c>
      <c r="B161" s="51"/>
      <c r="C161" s="17"/>
      <c r="D161" s="17"/>
      <c r="E161" s="17"/>
      <c r="F161" s="17"/>
      <c r="G161" s="17"/>
      <c r="H161" s="17"/>
      <c r="I161" s="28"/>
      <c r="J161" s="17"/>
      <c r="K161" s="37"/>
    </row>
    <row r="162" spans="1:11" s="66" customFormat="1" ht="15" customHeight="1" x14ac:dyDescent="0.2">
      <c r="A162" s="61" t="s">
        <v>68</v>
      </c>
      <c r="B162" s="64" t="s">
        <v>85</v>
      </c>
      <c r="C162" s="59"/>
      <c r="D162" s="59"/>
      <c r="E162" s="59"/>
      <c r="F162" s="59"/>
      <c r="G162" s="59"/>
      <c r="H162" s="59"/>
      <c r="I162" s="60">
        <v>927.67499999999995</v>
      </c>
      <c r="J162" s="57" t="s">
        <v>86</v>
      </c>
      <c r="K162" s="65" t="s">
        <v>57</v>
      </c>
    </row>
    <row r="163" spans="1:11" s="23" customFormat="1" ht="19" x14ac:dyDescent="0.2">
      <c r="A163" s="42" t="s">
        <v>69</v>
      </c>
      <c r="B163" s="7" t="s">
        <v>42</v>
      </c>
      <c r="C163" s="7"/>
      <c r="D163" s="7"/>
      <c r="E163" s="7"/>
      <c r="F163" s="7"/>
      <c r="G163" s="7"/>
      <c r="H163" s="7"/>
      <c r="I163" s="31">
        <v>371.07</v>
      </c>
      <c r="J163" s="2" t="s">
        <v>49</v>
      </c>
      <c r="K163" s="25"/>
    </row>
    <row r="164" spans="1:11" x14ac:dyDescent="0.2">
      <c r="A164" s="42">
        <v>1</v>
      </c>
      <c r="B164" s="6" t="s">
        <v>46</v>
      </c>
      <c r="C164" s="3">
        <v>1</v>
      </c>
      <c r="D164" s="4" t="s">
        <v>7</v>
      </c>
      <c r="E164" s="3">
        <v>1</v>
      </c>
      <c r="F164" s="11">
        <v>42</v>
      </c>
      <c r="G164" s="11">
        <v>14.25</v>
      </c>
      <c r="H164" s="11">
        <v>0.62</v>
      </c>
      <c r="I164" s="34">
        <v>371.07</v>
      </c>
      <c r="J164" s="4"/>
      <c r="K164" s="22"/>
    </row>
    <row r="165" spans="1:11" x14ac:dyDescent="0.2">
      <c r="A165" s="42"/>
      <c r="B165" s="18"/>
      <c r="C165" s="18"/>
      <c r="D165" s="18"/>
      <c r="E165" s="18"/>
      <c r="F165" s="18"/>
      <c r="G165" s="18"/>
      <c r="H165" s="18"/>
      <c r="I165" s="32"/>
      <c r="J165" s="22"/>
      <c r="K165" s="22"/>
    </row>
    <row r="166" spans="1:11" s="23" customFormat="1" ht="19" x14ac:dyDescent="0.2">
      <c r="A166" s="48" t="s">
        <v>1</v>
      </c>
      <c r="B166" s="7" t="s">
        <v>15</v>
      </c>
      <c r="C166" s="7"/>
      <c r="D166" s="7"/>
      <c r="E166" s="7"/>
      <c r="F166" s="7"/>
      <c r="G166" s="7"/>
      <c r="H166" s="7"/>
      <c r="I166" s="33">
        <v>556.60500000000002</v>
      </c>
      <c r="J166" s="2" t="s">
        <v>49</v>
      </c>
      <c r="K166" s="25"/>
    </row>
    <row r="167" spans="1:11" x14ac:dyDescent="0.2">
      <c r="A167" s="49">
        <v>1</v>
      </c>
      <c r="B167" s="6" t="s">
        <v>46</v>
      </c>
      <c r="C167" s="3">
        <v>1</v>
      </c>
      <c r="D167" s="4" t="s">
        <v>7</v>
      </c>
      <c r="E167" s="3">
        <v>1</v>
      </c>
      <c r="F167" s="14">
        <v>63</v>
      </c>
      <c r="G167" s="14">
        <v>14.25</v>
      </c>
      <c r="H167" s="11">
        <v>0.62</v>
      </c>
      <c r="I167" s="34">
        <v>556.60500000000002</v>
      </c>
      <c r="J167" s="4"/>
      <c r="K167" s="2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Vishvanath A</dc:creator>
  <cp:lastModifiedBy>Techi</cp:lastModifiedBy>
  <dcterms:created xsi:type="dcterms:W3CDTF">2026-01-10T07:24:09Z</dcterms:created>
  <dcterms:modified xsi:type="dcterms:W3CDTF">2026-01-29T10:05:58Z</dcterms:modified>
</cp:coreProperties>
</file>
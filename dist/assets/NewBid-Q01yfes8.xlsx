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CA35F694-F9CA-43AD-B9A3-B1F302D80569}" xr6:coauthVersionLast="47" xr6:coauthVersionMax="47" xr10:uidLastSave="{00000000-0000-0000-0000-000000000000}"/>
  <bookViews>
    <workbookView xWindow="-98" yWindow="-98" windowWidth="21795" windowHeight="12975" xr2:uid="{01928E7D-4FAD-40ED-BC5D-B34B84B9D8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2"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 i="1"/>
  <c r="F2" i="1"/>
</calcChain>
</file>

<file path=xl/sharedStrings.xml><?xml version="1.0" encoding="utf-8"?>
<sst xmlns="http://schemas.openxmlformats.org/spreadsheetml/2006/main" count="151" uniqueCount="120">
  <si>
    <t>ABS001</t>
  </si>
  <si>
    <t>ABS002</t>
  </si>
  <si>
    <t>DESCRIPTION</t>
  </si>
  <si>
    <t>SPECIFICATIONS</t>
  </si>
  <si>
    <t>UNIT</t>
  </si>
  <si>
    <t>QUANTITY</t>
  </si>
  <si>
    <t>REMARKS</t>
  </si>
  <si>
    <t>WORK SECTION</t>
  </si>
  <si>
    <t>ITEM_ID</t>
  </si>
  <si>
    <t>ITEM_NAME</t>
  </si>
  <si>
    <t>BASE_RATE</t>
  </si>
  <si>
    <t>Q_RATE</t>
  </si>
  <si>
    <t>N_RATE</t>
  </si>
  <si>
    <t>Clearing   Scrub   jungle   and   destroying   them   effectively   etc. complete   complying   with   Standard   Specifications   and   as directed by the Departmental Engineers.</t>
  </si>
  <si>
    <t>sqm</t>
  </si>
  <si>
    <t>Earthwork excavation for foundation in all kind of soils and sub soils    to   full   depth   except   hardrock,medium   rock,requiring blasting   inclusive   of   shoring,strutting   and   bailing   out   water wherever   necessary,refilling   the   sides   of   foundation   with excavated  earth  in  layers  of  not  more  than  15cm  thick  well rammed  and  compacted  and  depositing  the  surplus  excavated earth  in  places  shown  by  the  departmental  officers  with  initial lead of 10 meters and initial lift of 2 meters clearing and levelling the site  complete complying with standard specifications and as directed by the Departmental Engineers. (Narrow excavation)</t>
  </si>
  <si>
    <t>cum</t>
  </si>
  <si>
    <t>Earth work excavating and depositing on bank with initial lead of 10 metres and lift of 2 metres  in sand silt or other loose soil, wet sand  or  silt  not  under  water  light  black  cotton  soil  sandy  loam and  ordinary  soil  including  excavated  earth  ordinary  soil  etc. complete   complying   with   Standard   Specifications   and   as directed   by   the   Departmental   Engineers.SS   20   A.   (Open Excavation.)</t>
  </si>
  <si>
    <t>Centering without strutting Below ground level</t>
  </si>
  <si>
    <t>Centering with strutting upto 3m height</t>
  </si>
  <si>
    <t>Centering with strutting  3-4m height</t>
  </si>
  <si>
    <t>Centering with strutting  4-5m height</t>
  </si>
  <si>
    <t>Providing  and  placing  Plain  cement  concrete  M10  grade  using crushed broken hard granite course aggregate (well Graded) of Nominal  maximum  size  of  40mm  to  Ls  specified  grading  (to achieve the specified characteristicik strength of 10N /mm2 in 28 days)  and  mixing  the  ingredients  in  approved  mixer  including dewatering   of   the   placement   site   by   baling   (pumping   and dewatering wherever necess eng placing in layers and vibrating water  curing  finishing  hte  surface  with   all  leades  and  lifts  etc. complete   complying   with   Standard   Specifications   and   as directed by the Departmental Engineers.</t>
  </si>
  <si>
    <t>Below ground level upto 1.50 m</t>
  </si>
  <si>
    <t>Below ground level-Foundation upto 1.50 m to 4.50 m</t>
  </si>
  <si>
    <t>Below  ground level up to 1.50 m</t>
  </si>
  <si>
    <t>Above  ground level up to 4.50 m</t>
  </si>
  <si>
    <t>Nos</t>
  </si>
  <si>
    <t>Providing and laying in position standardised concrete Mix M-20 Grade   in   accordance   with   IS   456-2000   using   20mm   and downgraded hard broken granite stone jelly for all RCC items of works  with  minium  cement  content  of  325  kg/m3  and  maxium water cement ratio of 0.55 including admixture (Plasticizer/Super plasticizer)   in   recommended   proportions   asper   IS   9103   to accelerate,   retard   setting   of   concrete,   improve   workability without imparing strength and durability with about (5 cu.m) 7730 kg of 20 mm machine crushed stone jelly and with about (4.79 cu.m) 7670 kg of m.sand, but excluding cost of reinforcemnt grill and   fabricating   charges,   centering   and   shuttering   and   also including   and   laying,   vibrating   with   mechanical   vibrators, finishing,    curing    etc.    complete    complying    with    Standard Specifications and as directed by the Departmental Engineers.</t>
  </si>
  <si>
    <t>Reinforced  cement  concrete  M25    using  20mm  hard  broken stone  jelly  and  downgreded  to  IS  specified  grading  mixed  in mixer  machine  including  dewatering  the  placement  site,  laying the  concrete  in  layers  and  in  bays.vibrating  compacting  and finishing  the  surface  with  all  lead  and  lifts,  watering  curing complete  to  attain  the  profile  and  strength  as  specified  in  the drawings and specification for various lengths and heights below and above ground level etc. complete complying with Standard Specifications and as directed by the Departmental Engineers.</t>
  </si>
  <si>
    <t>Below  ground level 1.50m  to  upto 4.50 m</t>
  </si>
  <si>
    <t>Above  ground level upto 4.50m</t>
  </si>
  <si>
    <t>Supplying  fabricating and placing in position of Mild Steel (MS) or Ribbed Tor Steel (RTS)  of grills for  all R C C works  including cost  of  steel,  binding  wire  and  labour  charges  for  decoiling cutting, bending and tying the grills etc. complete complying with standard  specifications  and  as  directed  by  the  Departmental Engineers.</t>
  </si>
  <si>
    <t>qtl.</t>
  </si>
  <si>
    <t>Supplying and filling in clean M- sand in layers of not more than 15cm   thick   well   rammed   watered   and   consolidated    etc. complete   complying   with   Standard   Specifications   and   as directed by the Departmental Engineers.</t>
  </si>
  <si>
    <t>Supplying  and  filling  for  inverted  filter  arrangements  below  CC blocks with  40 cm thick graded inverted filter provided in two or more  layers  (ie  20  mm,  40  mm,  63  mm.)  size  metal  provided using   HBGS   jelly   conveyance   upto   100   m   etc.   complete complying  with  Standard  Specifications  and  as  directed  by  the Departmental Engineers.</t>
  </si>
  <si>
    <t>Supplying and Filling of Gravel in between the gap of CC Block with   75mm    thick,etc.   complete   complying   with   Standard Specifications and as directed by the Departmental Engineers.</t>
  </si>
  <si>
    <t>Supplying  and filling loose boulders of Size  more than 300mm and  weight   more  than  40kg  in  U/S   and  D/S  apron  using including conveyance,cost of materials etc. complete complying with standard specifications and as directed by the Departmental Engineers</t>
  </si>
  <si>
    <t>Rough  stone  dry  packing  using  new  stones  for  cone  wrapping aprons  and  revetment  including  labour  charges  etc.  complete complying  with  Standard  Specifications  and  as  directed  by  the Departmental Engineers. (.Cone Wrapping)</t>
  </si>
  <si>
    <t>Jeddy  stone   packing  using  new  stones  u/s   stone  pitching including labour charges etc. complete complying with Standard Specifications and as directed by the Departmental Engineers.</t>
  </si>
  <si>
    <t>Design, fabrication, supply, errection, testing and commissioning of  fixed  wheel  type  vertical  lift  gate(with  top  seal)  consisting  of skin  plate,  stiffeners,  horizontal  and  vertical  girders,  wheels, guide   rollers,  rubber  seals  etc.,  with  all  accessories  for  canal escape/regulator  vent  including  cost  of  materials,  machinery, labour,  cutting,  aligning,  welding,  finishing,  cleaning,  applying one  coat  of  zinc  rich  epoxy  primer  and  three  coats  of  cold applied  coal  tar  epoxy  paint,seal  fixing  etc.,  complete  as  per specifications  and  approved  drawings  with  lead  up  to  1km and all lifts for structural steel components and all leads and all lifts including packing/forwarding charges for other materials.</t>
  </si>
  <si>
    <t>tonne</t>
  </si>
  <si>
    <t>Design, fabrication, supply, errection, testing and commissioning of  supporting  structure,  platform,  railing,  ladder   etc.,  with  all accessories for operating canal escape/regulator gate including cost   of   all   materials,   machinery,   labour,   cutting,   aligning, welding, finishing, cleaning, greasing, applying two coats of zinc chromate red oxide primer and three coats of approved synthetic enamel paint etc., complete as per specifications and approved drawings  with  lead  up  to  1km  and  all  lifts  for  structural  steel components     and     all     leads     and     all     lifts     including packing/forwarding charges for other materials.</t>
  </si>
  <si>
    <t>Design, fabrication, supply, errection, testing and commissioning of embedded parts (with top seal) consisting of sill beam,wheel tracks,seal  seats,guide  rails,groove  lining  upto  top etc., with all accessories for vertical lift roller gate for canal escape/regulator including cost of materials, machinery, labour, cutting, aligning, aligning,  anchoring,  welding,  finishing,  cleaning,  applying  one coat of zinc rich epoxy primer and four coats of cold applied coal tar  epoxy  paint,seal  fixing  etc.,  complete  as  per  specifications and  approved  drawings  with  lead  up  to  1km  and  all  lifts  for structural  steel  components  and  all  leads  and  all  lifts  including packing/forwarding charges for other materials.</t>
  </si>
  <si>
    <t>Earth  work  in  all  soils  except  hard  rock  requiring  blasting  and conveying for formation of bund with lead of 0 to 100 metre with extra  lead  of  5  km  deploying  earth  moving  machinery   and tippers  including  benching, formation  of bunds,  breaking  clods, sectioning etc. complete complying with Standard Specifications and as directed by the Departmental Engineers.</t>
  </si>
  <si>
    <t>Providing and laying needle punched and mechanically bonded Non-woven  Geotextiles  of  Type-I  indigenously  manufactured from high quality fibres on the prepared subgrade for separation as per MORTH Specification 702</t>
  </si>
  <si>
    <t>Refilling  with  excavated  soil  (other  than  sand)  complying  with standard specification for filling in foundation and basement etc. complete   complying   with   Standard   Specifications   and   as directed by the Departmental Engineers.</t>
  </si>
  <si>
    <t>Earth work excavation for desilting the existing rivers / canals / channels/odai/ nullas / drains/flood bowls/ tanks/ reservoirs etc., consisting of very loose soil, silt, oily silt, slushy, marshy, loany, organic  soil, sea  shell and  flat mica  particles with  zero present air void in unhygienic &amp; insanitary conditions in under water and not under water deploying earth moving machinery with suitable floats  buoys  barge/  hydraulic  excavator  &amp;  other  mechanical devices  including  the  cost  of  hire  charges  for  machinery,  with cost  of  skilled  operators  with  helper  &amp;  cleaners  for  the  entire operations to reach the banks in which the removed silt &amp; sludge has  to  be  dumped  over  either  one  of  the  rivers  /  canals  / channels/odai/  nullas  /  drains/floods  bowls  /  tanks  /  reservoirs etc,  bank  whichever  is  convenient  as  per  the  prevailing  site conditions  for  easy conveyance  and  including  jungle  clearance etc.. complete  (Rate  excluding  conveyance  to dumping  yard or low lying area)</t>
  </si>
  <si>
    <t>Supplying Demarcation RCC Pre cast Post in Cement Concrete of  Grade  M15  with  well  graded  aggregates  and  the  nominal maximum size of  course aggregate of size 20 mm of size 0.20 x
0.20  x 1.45  M and  fixing  the  Post 40  Cm  depth  below Ground level, the Post includes using 4 Nos of 10mm RTS Main rod to a length of 1.325 M, using 8 mm MS 10 Nos as Strips with Steel Centring and Painting the Post with Enamel Paint to a Height of
0.80 m around the post etc., complete and Conveying the post to the  Site  of  Demarcation  Boundary  such  as  Tank  Bund  and foreshore including earthwork excavation for Foundation in HSC having  the  base  Plain  cement  Concrete  of  10  Cm  of   cement concrete  M7.5  using  Hard  blue  granite  broken  stone  of graded metal of 40 mm and the Post embeded using Cement Concrete of  Grade   Cement  Concrete  M10  with  well  graded  aggregates and the Nominal maximum size of course aggregate of 20 mm etc.,  complete  as  directed  by  the  Engineer  in  charge  of  works and as per the Technical Specfications</t>
  </si>
  <si>
    <t>ABS003</t>
  </si>
  <si>
    <t>ABS004</t>
  </si>
  <si>
    <t>ABS005</t>
  </si>
  <si>
    <t>ABS006</t>
  </si>
  <si>
    <t>ABS007</t>
  </si>
  <si>
    <t>ABS008</t>
  </si>
  <si>
    <t>ABS009</t>
  </si>
  <si>
    <t>ABS010</t>
  </si>
  <si>
    <t>ABS011</t>
  </si>
  <si>
    <t>ABS012</t>
  </si>
  <si>
    <t>ABS013</t>
  </si>
  <si>
    <t>ABS014</t>
  </si>
  <si>
    <t>ABS015</t>
  </si>
  <si>
    <t>ABS016</t>
  </si>
  <si>
    <t>ABS017</t>
  </si>
  <si>
    <t>ABS018</t>
  </si>
  <si>
    <t>ABS019</t>
  </si>
  <si>
    <t>ABS020</t>
  </si>
  <si>
    <t>ABS021</t>
  </si>
  <si>
    <t>ABS022</t>
  </si>
  <si>
    <t>ABS023</t>
  </si>
  <si>
    <t>ABS024</t>
  </si>
  <si>
    <t>ABS025</t>
  </si>
  <si>
    <t>ABS026</t>
  </si>
  <si>
    <t>ABS027</t>
  </si>
  <si>
    <t>ABS028</t>
  </si>
  <si>
    <t>ABS029</t>
  </si>
  <si>
    <t>ABS030</t>
  </si>
  <si>
    <t>ABS031</t>
  </si>
  <si>
    <t>ABS032</t>
  </si>
  <si>
    <t>ABS033</t>
  </si>
  <si>
    <t>ABS034</t>
  </si>
  <si>
    <t>ABS035</t>
  </si>
  <si>
    <r>
      <rPr>
        <sz val="11"/>
        <rFont val="Cambria"/>
        <family val="1"/>
      </rPr>
      <t>Supplying and fabrication and  CC Block of size 1.50 X 1.50 X
0.90  m  with  Plain  Cement  Concrete  1:2:4  (one  cement  two m.sand  and  Four  aggregate)  using   40mm   and  down  graded metal hard broken stone jelly for foundation including dewatering if  found  necessary  and  placing  in  position  including  ramming watering  and  curing  etc.  complete  complying  with  Standard Specifications and as directed by the Departmental Engineers.</t>
    </r>
  </si>
  <si>
    <r>
      <rPr>
        <sz val="11"/>
        <rFont val="Cambria"/>
        <family val="1"/>
      </rPr>
      <t>Earthwork  Excavation  for  foundation   in  all   soils  and  sub  soils and  to  full  depth  as  may  be  directed   except   in  hard  rock requiring blasting inclusive of shoring, strutting  and baling out of water  wherever  necessary  refilling  the  sides  of  foundation  with excavated  sand  on  excavated  soil   other  than  sand  in  layer of
15   cm   thick   well   rammed   and   consolidated   depositing   the surplus  earth  within  the  compound  in  places  as  shown  by  the departmental   officers   with   initial   lead   and   lift,   clearing  and leveling   the   site   etc.   complete   complying   with   Standard Specifications and as directed by the Departmental Engineers.</t>
    </r>
  </si>
  <si>
    <r>
      <rPr>
        <sz val="11"/>
        <rFont val="Cambria"/>
        <family val="1"/>
      </rPr>
      <t>Providing   and   making   Gabion   structure   with   Mechanically Woven  Double  Twisted  Hexagonal  shaped  wire  Mesh  Gabion Boxes  as  per  IS  16014:2012,  Morth  Clause  2500,  of  required size, Mesh Type 10x12 (D=100mm with tolerance of ± 2%) Zinc
+ PVC Coated, Mesh Wire diameter 2.7 / 3.7mm, mechanically edged / selvedged with partitions at every 1m interval and shall have  minimum  10  numbers  of  openings  per  meter  of  mesh perpendicular  to  twist,  tying  with  lacing  wire  of  diameter  2.2  /
3.2mm (ID/OD), supplied @ 3% by weight of Gabion boxes, filled with boulders with least dimension of 200mm, as per drawing, all complete as per directions of Engineer-in-Charge.</t>
    </r>
  </si>
  <si>
    <t xml:space="preserve"> Clearing scrub jungle and disposing</t>
  </si>
  <si>
    <t>Earthwork excavation for foundations in all soils (narrow excavation)</t>
  </si>
  <si>
    <t>Earthwork excavation and depositing on bank in loose / ordinary soils (open excavation)</t>
  </si>
  <si>
    <t>Centering without strutting below ground level</t>
  </si>
  <si>
    <t>Centering with strutting up to 3.0 m height</t>
  </si>
  <si>
    <t>Centering with strutting 3.0 m to 4.0 m height</t>
  </si>
  <si>
    <t>Centering with strutting 4.0 m to 5.0 m height</t>
  </si>
  <si>
    <t>PCC M10 using 40 mm HBG metal – all leads and lifts</t>
  </si>
  <si>
    <t>PCC M10 below ground level up to 1.50 m</t>
  </si>
  <si>
    <t>PCC M10 below ground level 1.50 m to 4.50 m</t>
  </si>
  <si>
    <t>PCC M10 below ground level up to 1.50 m (repeat line – use specific location if different)</t>
  </si>
  <si>
    <t>PCC M10 above ground level up to 4.50 m</t>
  </si>
  <si>
    <t>CC block 1.50 x 1.50 x 0.90 m in PCC 1:2:4 using 40 mm metal</t>
  </si>
  <si>
    <t>RCC M20 (standardised design mix) using 20 mm HBG metal – all RCC works</t>
  </si>
  <si>
    <t>RCC M25 using 20 mm HBG metal – all levels</t>
  </si>
  <si>
    <t>RCC M25 below ground level up to 1.50 m</t>
  </si>
  <si>
    <t>RCC M25 below ground level 1.50 m to 4.50 m</t>
  </si>
  <si>
    <t>RCC M25 above ground level up to 4.50 m</t>
  </si>
  <si>
    <t>Supplying, fabricating and placing MS/RTS reinforcement steel</t>
  </si>
  <si>
    <t>Supplying and filling M-sand in layers, watering and compaction</t>
  </si>
  <si>
    <t>Supplying and filling graded inverted filter (20/40/63 mm metal) below CC blocks</t>
  </si>
  <si>
    <t>Supplying and filling gravel between CC blocks (75 mm thick)</t>
  </si>
  <si>
    <t>Supplying and filling loose boulders (&gt;300 mm, &gt;40 kg) in U/S and D/S aprons</t>
  </si>
  <si>
    <t>Rough stone dry packing for cone wrapping / aprons / revetment</t>
  </si>
  <si>
    <t>Jeddy stone packing for U/S stone pitching</t>
  </si>
  <si>
    <t>Fixed wheel type vertical lift gate – design, fabrication, erection, testing and commissioning</t>
  </si>
  <si>
    <t>Supporting structure / platform / railing / ladder for gate – design, fabrication, erection, testing and commissioning</t>
  </si>
  <si>
    <t>Embedded parts for vertical lift gate – design, fabrication, erection, testing and commissioning</t>
  </si>
  <si>
    <t>Earthwork for bund formation with machinery (lead 0–100 m + extra 5 km)</t>
  </si>
  <si>
    <t>Earthwork excavation for foundations in all soils and refilling with excavated soil (other than sand)</t>
  </si>
  <si>
    <t>Providing and making gabion structures with PVC coated wire mesh boxes filled with boulders</t>
  </si>
  <si>
    <t>Providing and laying non-woven geotextile Type‑I for separation</t>
  </si>
  <si>
    <t>Refilling with excavated soil (other than sand) in foundation and basement</t>
  </si>
  <si>
    <t>Desilting existing rivers / canals / channels / tanks using machinery and dumping on banks (excluding conveyance to dump yard)</t>
  </si>
  <si>
    <t>RCC precast demarcation post M15 (0.20 x 0.20 x 1.45 m) with foundation concrete and painting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</si>
</sst>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7" formatCode="_ * #,##0.00_ ;_ * \-#,##0.00_ ;_ * &quot;-&quot;??_ ;_ @_ "/>
  </numFmts>
  <fonts count="11" x14ac:knownFonts="1">
    <font>
      <sz val="11"/>
      <color theme="1"/>
      <name val="Calibri"/>
      <family val="2"/>
      <scheme val="minor"/>
    </font>
    <font>
      <sz val="11"/>
      <color theme="1"/>
      <name val="Calibri"/>
      <family val="2"/>
      <scheme val="minor"/>
    </font>
    <font>
      <sz val="10"/>
      <color rgb="FF000000"/>
      <name val="Times New Roman"/>
      <charset val="204"/>
    </font>
    <font>
      <sz val="10"/>
      <color rgb="FF000000"/>
      <name val="Times New Roman"/>
      <family val="1"/>
    </font>
    <font>
      <sz val="10"/>
      <name val="Arial"/>
      <family val="2"/>
    </font>
    <font>
      <sz val="11"/>
      <color indexed="8"/>
      <name val="Calibri"/>
      <family val="2"/>
    </font>
    <font>
      <sz val="11"/>
      <color indexed="8"/>
      <name val="Calibri"/>
      <family val="2"/>
      <scheme val="minor"/>
    </font>
    <font>
      <sz val="11"/>
      <color theme="1"/>
      <name val="Cambria"/>
      <family val="1"/>
    </font>
    <font>
      <sz val="8"/>
      <name val="Calibri"/>
      <family val="2"/>
      <scheme val="minor"/>
    </font>
    <font>
      <sz val="11"/>
      <name val="Cambria"/>
      <family val="1"/>
    </font>
    <font>
      <sz val="11"/>
      <color rgb="FF000000"/>
      <name val="Cambria"/>
      <family val="1"/>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0">
    <xf numFmtId="0" fontId="0" fillId="0" borderId="0"/>
    <xf numFmtId="0" fontId="2" fillId="0" borderId="0"/>
    <xf numFmtId="43" fontId="3" fillId="0" borderId="0" applyFont="0" applyFill="0" applyBorder="0" applyAlignment="0" applyProtection="0"/>
    <xf numFmtId="9" fontId="3" fillId="0" borderId="0" applyFont="0" applyFill="0" applyBorder="0" applyAlignment="0" applyProtection="0"/>
    <xf numFmtId="0" fontId="1" fillId="0" borderId="0"/>
    <xf numFmtId="9" fontId="4" fillId="0" borderId="0" applyFont="0" applyFill="0" applyBorder="0" applyAlignment="0" applyProtection="0"/>
    <xf numFmtId="43" fontId="4" fillId="0" borderId="0" applyFont="0" applyFill="0" applyBorder="0" applyAlignment="0" applyProtection="0"/>
    <xf numFmtId="0" fontId="4" fillId="0" borderId="0" applyNumberFormat="0" applyFont="0" applyFill="0" applyBorder="0" applyAlignment="0" applyProtection="0">
      <alignment vertical="top"/>
    </xf>
    <xf numFmtId="9" fontId="5" fillId="0" borderId="0" applyFont="0" applyFill="0" applyBorder="0" applyAlignment="0" applyProtection="0"/>
    <xf numFmtId="0" fontId="6" fillId="0" borderId="0"/>
    <xf numFmtId="9" fontId="6" fillId="0" borderId="0" applyFont="0" applyFill="0" applyBorder="0" applyAlignment="0" applyProtection="0"/>
    <xf numFmtId="43" fontId="4" fillId="0" borderId="0" applyFont="0" applyFill="0" applyBorder="0" applyAlignment="0" applyProtection="0"/>
    <xf numFmtId="167"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1" fillId="0" borderId="0"/>
    <xf numFmtId="9" fontId="4" fillId="0" borderId="0" applyFont="0" applyFill="0" applyBorder="0" applyAlignment="0" applyProtection="0"/>
    <xf numFmtId="9" fontId="1" fillId="0" borderId="0" applyFont="0" applyFill="0" applyBorder="0" applyAlignment="0" applyProtection="0"/>
  </cellStyleXfs>
  <cellXfs count="12">
    <xf numFmtId="0" fontId="0" fillId="0" borderId="0" xfId="0"/>
    <xf numFmtId="43" fontId="10" fillId="0" borderId="1" xfId="2" applyFont="1" applyFill="1" applyBorder="1" applyAlignment="1">
      <alignment horizontal="center" vertical="center" shrinkToFit="1"/>
    </xf>
    <xf numFmtId="43" fontId="10" fillId="0" borderId="1" xfId="2" applyFont="1" applyFill="1" applyBorder="1" applyAlignment="1">
      <alignment horizontal="center" vertical="center" wrapText="1"/>
    </xf>
    <xf numFmtId="0" fontId="9" fillId="0" borderId="1" xfId="1" applyFont="1" applyBorder="1" applyAlignment="1">
      <alignment horizontal="center" vertical="center" wrapText="1"/>
    </xf>
    <xf numFmtId="0" fontId="0" fillId="0" borderId="0" xfId="0" applyAlignment="1">
      <alignment horizontal="left"/>
    </xf>
    <xf numFmtId="0" fontId="9" fillId="0" borderId="1" xfId="1" applyFont="1" applyBorder="1" applyAlignment="1">
      <alignment horizontal="left" vertical="top"/>
    </xf>
    <xf numFmtId="0" fontId="10" fillId="0" borderId="1" xfId="1" applyFont="1" applyBorder="1" applyAlignment="1">
      <alignment horizontal="left" vertical="top"/>
    </xf>
    <xf numFmtId="0" fontId="7" fillId="0" borderId="1" xfId="0" applyFont="1" applyBorder="1"/>
    <xf numFmtId="43" fontId="7" fillId="0" borderId="1" xfId="0" applyNumberFormat="1" applyFont="1" applyBorder="1"/>
    <xf numFmtId="0" fontId="0" fillId="0" borderId="1" xfId="0" applyFont="1" applyBorder="1"/>
    <xf numFmtId="0" fontId="7" fillId="2" borderId="1" xfId="0" applyFont="1" applyFill="1" applyBorder="1" applyAlignment="1">
      <alignment horizontal="center"/>
    </xf>
    <xf numFmtId="0" fontId="0" fillId="2" borderId="0" xfId="0" applyFill="1" applyAlignment="1">
      <alignment horizontal="center"/>
    </xf>
  </cellXfs>
  <cellStyles count="20">
    <cellStyle name="Comma 13" xfId="11" xr:uid="{03D657FE-6738-47D9-A94A-B26873135EE2}"/>
    <cellStyle name="Comma 17 2" xfId="12" xr:uid="{174F83A4-7373-44BB-9D38-3BE1AD547382}"/>
    <cellStyle name="Comma 2" xfId="6" xr:uid="{D61BAFFE-9570-48F8-9EF4-651312696A38}"/>
    <cellStyle name="Comma 2 2 14" xfId="13" xr:uid="{79B3B71A-24C8-4E19-9F36-6E7FF137614B}"/>
    <cellStyle name="Comma 3" xfId="2" xr:uid="{6D3E6DBE-9BA8-451C-A596-88AB03E3A996}"/>
    <cellStyle name="Comma 4 3" xfId="14" xr:uid="{02AFCEFD-8B38-4C93-A6F2-F8A0921E7D9D}"/>
    <cellStyle name="Normal" xfId="0" builtinId="0"/>
    <cellStyle name="Normal 2" xfId="1" xr:uid="{6B0BCE96-BB31-4E7B-8493-DE6E479E868F}"/>
    <cellStyle name="Normal 2 2 2 12" xfId="15" xr:uid="{DC0FB08F-D5DE-44DC-A7C6-F7710C0B2B5C}"/>
    <cellStyle name="Normal 3" xfId="4" xr:uid="{DB1AE329-E4D6-40F7-A0FE-61515D2E7988}"/>
    <cellStyle name="Normal 4" xfId="7" xr:uid="{2A81B10D-C648-449C-9B40-AC7C7364F0FB}"/>
    <cellStyle name="Normal 4 2 3" xfId="16" xr:uid="{F8903A96-B5A0-420D-9E67-AB65B61E12D8}"/>
    <cellStyle name="Normal 5" xfId="9" xr:uid="{979B8F02-D604-4FFB-AC5D-8A4BE965C3A9}"/>
    <cellStyle name="Normal 9" xfId="17" xr:uid="{7D7C99ED-B74A-4C09-B4B3-7084271BFC76}"/>
    <cellStyle name="Percent 2" xfId="5" xr:uid="{2643FBCB-FF64-4FFF-A276-0E7BAD2374A3}"/>
    <cellStyle name="Percent 2 2" xfId="8" xr:uid="{54F2B1EA-5DE9-41DD-8BE0-373C3E713126}"/>
    <cellStyle name="Percent 2 2 2" xfId="18" xr:uid="{0B4CE6AC-A3F5-4BB6-9038-05CA33BA045E}"/>
    <cellStyle name="Percent 3" xfId="10" xr:uid="{1ECC4F36-B505-4E8D-97E4-CB233223F066}"/>
    <cellStyle name="Percent 4" xfId="3" xr:uid="{4B1119EB-2807-42CB-B56C-F0457B8FB32D}"/>
    <cellStyle name="Percent 5" xfId="19" xr:uid="{33BA3DD0-BE9A-46D0-A199-FED600E389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C4D-2761-440E-BEAC-638455706E59}">
  <dimension ref="A1:K36"/>
  <sheetViews>
    <sheetView tabSelected="1" topLeftCell="C1" workbookViewId="0">
      <selection activeCell="D42" sqref="D42"/>
    </sheetView>
  </sheetViews>
  <sheetFormatPr defaultRowHeight="14.25" x14ac:dyDescent="0.45"/>
  <cols>
    <col min="2" max="2" width="43" customWidth="1"/>
    <col min="3" max="3" width="38.3984375" style="4" customWidth="1"/>
    <col min="4" max="4" width="32.53125" customWidth="1"/>
    <col min="5" max="5" width="10.265625" customWidth="1"/>
    <col min="6" max="6" width="13" customWidth="1"/>
    <col min="7" max="7" width="14.73046875" customWidth="1"/>
    <col min="8" max="8" width="11.796875" customWidth="1"/>
    <col min="9" max="9" width="15.1328125" customWidth="1"/>
    <col min="10" max="10" width="15.796875" customWidth="1"/>
    <col min="11" max="11" width="15" customWidth="1"/>
  </cols>
  <sheetData>
    <row r="1" spans="1:11" s="11" customFormat="1" x14ac:dyDescent="0.45">
      <c r="A1" s="10" t="s">
        <v>8</v>
      </c>
      <c r="B1" s="10" t="s">
        <v>9</v>
      </c>
      <c r="C1" s="10" t="s">
        <v>2</v>
      </c>
      <c r="D1" s="10" t="s">
        <v>5</v>
      </c>
      <c r="E1" s="10" t="s">
        <v>4</v>
      </c>
      <c r="F1" s="10" t="s">
        <v>10</v>
      </c>
      <c r="G1" s="10" t="s">
        <v>11</v>
      </c>
      <c r="H1" s="10" t="s">
        <v>12</v>
      </c>
      <c r="I1" s="10" t="s">
        <v>3</v>
      </c>
      <c r="J1" s="10" t="s">
        <v>6</v>
      </c>
      <c r="K1" s="10" t="s">
        <v>7</v>
      </c>
    </row>
    <row r="2" spans="1:11" x14ac:dyDescent="0.45">
      <c r="A2" s="7" t="s">
        <v>0</v>
      </c>
      <c r="B2" s="7" t="s">
        <v>85</v>
      </c>
      <c r="C2" s="5" t="s">
        <v>13</v>
      </c>
      <c r="D2" s="1">
        <v>25849.599999999999</v>
      </c>
      <c r="E2" s="3" t="s">
        <v>14</v>
      </c>
      <c r="F2" s="8">
        <f>H2*2</f>
        <v>12</v>
      </c>
      <c r="G2" s="8">
        <f>H2*1.5</f>
        <v>9</v>
      </c>
      <c r="H2" s="2">
        <v>6</v>
      </c>
      <c r="I2" s="2"/>
      <c r="J2" s="7"/>
      <c r="K2" s="7"/>
    </row>
    <row r="3" spans="1:11" x14ac:dyDescent="0.45">
      <c r="A3" s="7" t="s">
        <v>1</v>
      </c>
      <c r="B3" s="7" t="s">
        <v>86</v>
      </c>
      <c r="C3" s="5" t="s">
        <v>15</v>
      </c>
      <c r="D3" s="1">
        <v>5254</v>
      </c>
      <c r="E3" s="3" t="s">
        <v>16</v>
      </c>
      <c r="F3" s="8">
        <f>H3*2</f>
        <v>452</v>
      </c>
      <c r="G3" s="8">
        <f t="shared" ref="G3:G36" si="0">H3*1.5</f>
        <v>339</v>
      </c>
      <c r="H3" s="2">
        <v>226</v>
      </c>
      <c r="I3" s="2"/>
      <c r="J3" s="7"/>
      <c r="K3" s="7"/>
    </row>
    <row r="4" spans="1:11" x14ac:dyDescent="0.45">
      <c r="A4" s="7" t="s">
        <v>49</v>
      </c>
      <c r="B4" s="7" t="s">
        <v>87</v>
      </c>
      <c r="C4" s="5" t="s">
        <v>17</v>
      </c>
      <c r="D4" s="1">
        <v>29381</v>
      </c>
      <c r="E4" s="3" t="s">
        <v>16</v>
      </c>
      <c r="F4" s="8">
        <f t="shared" ref="F4:F36" si="1">H4*2</f>
        <v>170</v>
      </c>
      <c r="G4" s="8">
        <f t="shared" si="0"/>
        <v>127.5</v>
      </c>
      <c r="H4" s="2">
        <v>85</v>
      </c>
      <c r="I4" s="2"/>
      <c r="J4" s="7"/>
      <c r="K4" s="7"/>
    </row>
    <row r="5" spans="1:11" x14ac:dyDescent="0.45">
      <c r="A5" s="7" t="s">
        <v>50</v>
      </c>
      <c r="B5" s="7" t="s">
        <v>88</v>
      </c>
      <c r="C5" s="5" t="s">
        <v>18</v>
      </c>
      <c r="D5" s="1">
        <v>6346</v>
      </c>
      <c r="E5" s="3" t="s">
        <v>14</v>
      </c>
      <c r="F5" s="8">
        <f t="shared" si="1"/>
        <v>1910</v>
      </c>
      <c r="G5" s="8">
        <f t="shared" si="0"/>
        <v>1432.5</v>
      </c>
      <c r="H5" s="2">
        <v>955</v>
      </c>
      <c r="I5" s="2"/>
      <c r="J5" s="7"/>
      <c r="K5" s="7"/>
    </row>
    <row r="6" spans="1:11" x14ac:dyDescent="0.45">
      <c r="A6" s="7" t="s">
        <v>51</v>
      </c>
      <c r="B6" s="7" t="s">
        <v>89</v>
      </c>
      <c r="C6" s="5" t="s">
        <v>19</v>
      </c>
      <c r="D6" s="1">
        <v>6536</v>
      </c>
      <c r="E6" s="3" t="s">
        <v>14</v>
      </c>
      <c r="F6" s="8">
        <f t="shared" si="1"/>
        <v>2120</v>
      </c>
      <c r="G6" s="8">
        <f t="shared" si="0"/>
        <v>1590</v>
      </c>
      <c r="H6" s="2">
        <v>1060</v>
      </c>
      <c r="I6" s="2"/>
      <c r="J6" s="7"/>
      <c r="K6" s="7"/>
    </row>
    <row r="7" spans="1:11" x14ac:dyDescent="0.45">
      <c r="A7" s="7" t="s">
        <v>52</v>
      </c>
      <c r="B7" s="7" t="s">
        <v>90</v>
      </c>
      <c r="C7" s="5" t="s">
        <v>20</v>
      </c>
      <c r="D7" s="1">
        <v>739</v>
      </c>
      <c r="E7" s="3" t="s">
        <v>14</v>
      </c>
      <c r="F7" s="8">
        <f t="shared" si="1"/>
        <v>2190</v>
      </c>
      <c r="G7" s="8">
        <f t="shared" si="0"/>
        <v>1642.5</v>
      </c>
      <c r="H7" s="2">
        <v>1095</v>
      </c>
      <c r="I7" s="2"/>
      <c r="J7" s="7"/>
      <c r="K7" s="7"/>
    </row>
    <row r="8" spans="1:11" x14ac:dyDescent="0.45">
      <c r="A8" s="7" t="s">
        <v>53</v>
      </c>
      <c r="B8" s="7" t="s">
        <v>91</v>
      </c>
      <c r="C8" s="5" t="s">
        <v>21</v>
      </c>
      <c r="D8" s="1">
        <v>303</v>
      </c>
      <c r="E8" s="3" t="s">
        <v>14</v>
      </c>
      <c r="F8" s="8">
        <f t="shared" si="1"/>
        <v>2260</v>
      </c>
      <c r="G8" s="8">
        <f t="shared" si="0"/>
        <v>1695</v>
      </c>
      <c r="H8" s="2">
        <v>1130</v>
      </c>
      <c r="I8" s="2"/>
      <c r="J8" s="7"/>
      <c r="K8" s="7"/>
    </row>
    <row r="9" spans="1:11" x14ac:dyDescent="0.45">
      <c r="A9" s="7" t="s">
        <v>54</v>
      </c>
      <c r="B9" s="7" t="s">
        <v>92</v>
      </c>
      <c r="C9" s="5" t="s">
        <v>22</v>
      </c>
      <c r="D9" s="1">
        <v>379</v>
      </c>
      <c r="E9" s="3" t="s">
        <v>16</v>
      </c>
      <c r="F9" s="8">
        <f t="shared" si="1"/>
        <v>11770</v>
      </c>
      <c r="G9" s="8">
        <f t="shared" si="0"/>
        <v>8827.5</v>
      </c>
      <c r="H9" s="2">
        <v>5885</v>
      </c>
      <c r="I9" s="2"/>
      <c r="J9" s="7"/>
      <c r="K9" s="7"/>
    </row>
    <row r="10" spans="1:11" x14ac:dyDescent="0.45">
      <c r="A10" s="7" t="s">
        <v>55</v>
      </c>
      <c r="B10" s="7" t="s">
        <v>93</v>
      </c>
      <c r="C10" s="5" t="s">
        <v>23</v>
      </c>
      <c r="D10" s="1">
        <v>739</v>
      </c>
      <c r="E10" s="3" t="s">
        <v>16</v>
      </c>
      <c r="F10" s="8">
        <f t="shared" si="1"/>
        <v>13700</v>
      </c>
      <c r="G10" s="8">
        <f t="shared" si="0"/>
        <v>10275</v>
      </c>
      <c r="H10" s="2">
        <v>6850</v>
      </c>
      <c r="I10" s="2"/>
      <c r="J10" s="7"/>
      <c r="K10" s="7"/>
    </row>
    <row r="11" spans="1:11" x14ac:dyDescent="0.45">
      <c r="A11" s="7" t="s">
        <v>56</v>
      </c>
      <c r="B11" s="7" t="s">
        <v>94</v>
      </c>
      <c r="C11" s="5" t="s">
        <v>24</v>
      </c>
      <c r="D11" s="1">
        <v>220</v>
      </c>
      <c r="E11" s="3" t="s">
        <v>16</v>
      </c>
      <c r="F11" s="8">
        <f t="shared" si="1"/>
        <v>13968</v>
      </c>
      <c r="G11" s="8">
        <f t="shared" si="0"/>
        <v>10476</v>
      </c>
      <c r="H11" s="2">
        <v>6984</v>
      </c>
      <c r="I11" s="2"/>
      <c r="J11" s="7"/>
      <c r="K11" s="7"/>
    </row>
    <row r="12" spans="1:11" x14ac:dyDescent="0.45">
      <c r="A12" s="7" t="s">
        <v>57</v>
      </c>
      <c r="B12" s="7" t="s">
        <v>95</v>
      </c>
      <c r="C12" s="5" t="s">
        <v>25</v>
      </c>
      <c r="D12" s="1">
        <v>4986</v>
      </c>
      <c r="E12" s="3" t="s">
        <v>16</v>
      </c>
      <c r="F12" s="8">
        <f t="shared" si="1"/>
        <v>13020</v>
      </c>
      <c r="G12" s="8">
        <f t="shared" si="0"/>
        <v>9765</v>
      </c>
      <c r="H12" s="2">
        <v>6510</v>
      </c>
      <c r="I12" s="2"/>
      <c r="J12" s="7"/>
      <c r="K12" s="7"/>
    </row>
    <row r="13" spans="1:11" x14ac:dyDescent="0.45">
      <c r="A13" s="7" t="s">
        <v>58</v>
      </c>
      <c r="B13" s="7" t="s">
        <v>96</v>
      </c>
      <c r="C13" s="5" t="s">
        <v>26</v>
      </c>
      <c r="D13" s="1">
        <v>1579</v>
      </c>
      <c r="E13" s="3" t="s">
        <v>16</v>
      </c>
      <c r="F13" s="8">
        <f t="shared" si="1"/>
        <v>13290</v>
      </c>
      <c r="G13" s="8">
        <f t="shared" si="0"/>
        <v>9967.5</v>
      </c>
      <c r="H13" s="2">
        <v>6645</v>
      </c>
      <c r="I13" s="2"/>
      <c r="J13" s="7"/>
      <c r="K13" s="7"/>
    </row>
    <row r="14" spans="1:11" x14ac:dyDescent="0.45">
      <c r="A14" s="7" t="s">
        <v>59</v>
      </c>
      <c r="B14" s="7" t="s">
        <v>97</v>
      </c>
      <c r="C14" s="6" t="s">
        <v>82</v>
      </c>
      <c r="D14" s="1">
        <v>800</v>
      </c>
      <c r="E14" s="3" t="s">
        <v>27</v>
      </c>
      <c r="F14" s="8">
        <f t="shared" si="1"/>
        <v>29154</v>
      </c>
      <c r="G14" s="8">
        <f t="shared" si="0"/>
        <v>21865.5</v>
      </c>
      <c r="H14" s="2">
        <v>14577</v>
      </c>
      <c r="I14" s="2"/>
      <c r="J14" s="7"/>
      <c r="K14" s="7"/>
    </row>
    <row r="15" spans="1:11" x14ac:dyDescent="0.45">
      <c r="A15" s="7" t="s">
        <v>60</v>
      </c>
      <c r="B15" s="7" t="s">
        <v>98</v>
      </c>
      <c r="C15" s="5" t="s">
        <v>28</v>
      </c>
      <c r="D15" s="1">
        <v>906</v>
      </c>
      <c r="E15" s="3" t="s">
        <v>16</v>
      </c>
      <c r="F15" s="8">
        <f t="shared" si="1"/>
        <v>17418</v>
      </c>
      <c r="G15" s="8">
        <f t="shared" si="0"/>
        <v>13063.5</v>
      </c>
      <c r="H15" s="2">
        <v>8709</v>
      </c>
      <c r="I15" s="2"/>
      <c r="J15" s="7"/>
      <c r="K15" s="7"/>
    </row>
    <row r="16" spans="1:11" x14ac:dyDescent="0.45">
      <c r="A16" s="7" t="s">
        <v>61</v>
      </c>
      <c r="B16" s="7" t="s">
        <v>99</v>
      </c>
      <c r="C16" s="5" t="s">
        <v>29</v>
      </c>
      <c r="D16" s="1">
        <v>32</v>
      </c>
      <c r="E16" s="3" t="s">
        <v>16</v>
      </c>
      <c r="F16" s="8">
        <f t="shared" si="1"/>
        <v>17714</v>
      </c>
      <c r="G16" s="8">
        <f t="shared" si="0"/>
        <v>13285.5</v>
      </c>
      <c r="H16" s="2">
        <v>8857</v>
      </c>
      <c r="I16" s="2"/>
      <c r="J16" s="7"/>
      <c r="K16" s="7"/>
    </row>
    <row r="17" spans="1:11" x14ac:dyDescent="0.45">
      <c r="A17" s="7" t="s">
        <v>62</v>
      </c>
      <c r="B17" s="7" t="s">
        <v>100</v>
      </c>
      <c r="C17" s="5" t="s">
        <v>25</v>
      </c>
      <c r="D17" s="1">
        <v>225</v>
      </c>
      <c r="E17" s="3" t="s">
        <v>16</v>
      </c>
      <c r="F17" s="8">
        <f t="shared" si="1"/>
        <v>14560</v>
      </c>
      <c r="G17" s="8">
        <f t="shared" si="0"/>
        <v>10920</v>
      </c>
      <c r="H17" s="2">
        <v>7280</v>
      </c>
      <c r="I17" s="2"/>
      <c r="J17" s="7"/>
      <c r="K17" s="7"/>
    </row>
    <row r="18" spans="1:11" x14ac:dyDescent="0.45">
      <c r="A18" s="7" t="s">
        <v>63</v>
      </c>
      <c r="B18" s="7" t="s">
        <v>101</v>
      </c>
      <c r="C18" s="5" t="s">
        <v>30</v>
      </c>
      <c r="D18" s="1">
        <v>525</v>
      </c>
      <c r="E18" s="3" t="s">
        <v>16</v>
      </c>
      <c r="F18" s="8">
        <f t="shared" si="1"/>
        <v>14828</v>
      </c>
      <c r="G18" s="8">
        <f t="shared" si="0"/>
        <v>11121</v>
      </c>
      <c r="H18" s="2">
        <v>7414</v>
      </c>
      <c r="I18" s="2"/>
      <c r="J18" s="7"/>
      <c r="K18" s="7"/>
    </row>
    <row r="19" spans="1:11" x14ac:dyDescent="0.45">
      <c r="A19" s="7" t="s">
        <v>64</v>
      </c>
      <c r="B19" s="7" t="s">
        <v>102</v>
      </c>
      <c r="C19" s="5" t="s">
        <v>31</v>
      </c>
      <c r="D19" s="1">
        <v>2.9</v>
      </c>
      <c r="E19" s="3" t="s">
        <v>16</v>
      </c>
      <c r="F19" s="8">
        <f t="shared" si="1"/>
        <v>14832</v>
      </c>
      <c r="G19" s="8">
        <f t="shared" si="0"/>
        <v>11124</v>
      </c>
      <c r="H19" s="2">
        <v>7416</v>
      </c>
      <c r="I19" s="2"/>
      <c r="J19" s="7"/>
      <c r="K19" s="7"/>
    </row>
    <row r="20" spans="1:11" x14ac:dyDescent="0.45">
      <c r="A20" s="7" t="s">
        <v>65</v>
      </c>
      <c r="B20" s="9" t="s">
        <v>103</v>
      </c>
      <c r="C20" s="5" t="s">
        <v>32</v>
      </c>
      <c r="D20" s="1">
        <v>1752</v>
      </c>
      <c r="E20" s="3" t="s">
        <v>33</v>
      </c>
      <c r="F20" s="8">
        <f t="shared" si="1"/>
        <v>18516</v>
      </c>
      <c r="G20" s="8">
        <f t="shared" si="0"/>
        <v>13887</v>
      </c>
      <c r="H20" s="2">
        <v>9258</v>
      </c>
      <c r="I20" s="2"/>
      <c r="J20" s="7"/>
      <c r="K20" s="7"/>
    </row>
    <row r="21" spans="1:11" x14ac:dyDescent="0.45">
      <c r="A21" s="7" t="s">
        <v>66</v>
      </c>
      <c r="B21" s="9" t="s">
        <v>104</v>
      </c>
      <c r="C21" s="5" t="s">
        <v>34</v>
      </c>
      <c r="D21" s="1">
        <v>398</v>
      </c>
      <c r="E21" s="3" t="s">
        <v>16</v>
      </c>
      <c r="F21" s="8">
        <f t="shared" si="1"/>
        <v>3570</v>
      </c>
      <c r="G21" s="8">
        <f t="shared" si="0"/>
        <v>2677.5</v>
      </c>
      <c r="H21" s="2">
        <v>1785</v>
      </c>
      <c r="I21" s="2"/>
      <c r="J21" s="7"/>
      <c r="K21" s="7"/>
    </row>
    <row r="22" spans="1:11" x14ac:dyDescent="0.45">
      <c r="A22" s="7" t="s">
        <v>67</v>
      </c>
      <c r="B22" s="9" t="s">
        <v>105</v>
      </c>
      <c r="C22" s="5" t="s">
        <v>35</v>
      </c>
      <c r="D22" s="1">
        <v>795</v>
      </c>
      <c r="E22" s="3" t="s">
        <v>16</v>
      </c>
      <c r="F22" s="8">
        <f t="shared" si="1"/>
        <v>3160</v>
      </c>
      <c r="G22" s="8">
        <f t="shared" si="0"/>
        <v>2370</v>
      </c>
      <c r="H22" s="2">
        <v>1580</v>
      </c>
      <c r="I22" s="2"/>
      <c r="J22" s="7"/>
      <c r="K22" s="7"/>
    </row>
    <row r="23" spans="1:11" x14ac:dyDescent="0.45">
      <c r="A23" s="7" t="s">
        <v>68</v>
      </c>
      <c r="B23" s="9" t="s">
        <v>106</v>
      </c>
      <c r="C23" s="5" t="s">
        <v>36</v>
      </c>
      <c r="D23" s="1">
        <v>345</v>
      </c>
      <c r="E23" s="3" t="s">
        <v>16</v>
      </c>
      <c r="F23" s="8">
        <f t="shared" si="1"/>
        <v>894</v>
      </c>
      <c r="G23" s="8">
        <f t="shared" si="0"/>
        <v>670.5</v>
      </c>
      <c r="H23" s="2">
        <v>447</v>
      </c>
      <c r="I23" s="2"/>
      <c r="J23" s="7"/>
      <c r="K23" s="7"/>
    </row>
    <row r="24" spans="1:11" x14ac:dyDescent="0.45">
      <c r="A24" s="7" t="s">
        <v>69</v>
      </c>
      <c r="B24" s="9" t="s">
        <v>107</v>
      </c>
      <c r="C24" s="5" t="s">
        <v>37</v>
      </c>
      <c r="D24" s="1">
        <v>4440</v>
      </c>
      <c r="E24" s="3" t="s">
        <v>16</v>
      </c>
      <c r="F24" s="8">
        <f t="shared" si="1"/>
        <v>5228</v>
      </c>
      <c r="G24" s="8">
        <f t="shared" si="0"/>
        <v>3921</v>
      </c>
      <c r="H24" s="2">
        <v>2614</v>
      </c>
      <c r="I24" s="2"/>
      <c r="J24" s="7"/>
      <c r="K24" s="7"/>
    </row>
    <row r="25" spans="1:11" x14ac:dyDescent="0.45">
      <c r="A25" s="7" t="s">
        <v>70</v>
      </c>
      <c r="B25" s="9" t="s">
        <v>108</v>
      </c>
      <c r="C25" s="5" t="s">
        <v>38</v>
      </c>
      <c r="D25" s="1">
        <v>1099</v>
      </c>
      <c r="E25" s="3" t="s">
        <v>16</v>
      </c>
      <c r="F25" s="8">
        <f t="shared" si="1"/>
        <v>4630</v>
      </c>
      <c r="G25" s="8">
        <f t="shared" si="0"/>
        <v>3472.5</v>
      </c>
      <c r="H25" s="2">
        <v>2315</v>
      </c>
      <c r="I25" s="2"/>
      <c r="J25" s="7"/>
      <c r="K25" s="7"/>
    </row>
    <row r="26" spans="1:11" x14ac:dyDescent="0.45">
      <c r="A26" s="7" t="s">
        <v>71</v>
      </c>
      <c r="B26" s="9" t="s">
        <v>109</v>
      </c>
      <c r="C26" s="5" t="s">
        <v>39</v>
      </c>
      <c r="D26" s="1">
        <v>450</v>
      </c>
      <c r="E26" s="3" t="s">
        <v>16</v>
      </c>
      <c r="F26" s="8">
        <f t="shared" si="1"/>
        <v>5228</v>
      </c>
      <c r="G26" s="8">
        <f t="shared" si="0"/>
        <v>3921</v>
      </c>
      <c r="H26" s="2">
        <v>2614</v>
      </c>
      <c r="I26" s="2"/>
      <c r="J26" s="7"/>
      <c r="K26" s="7"/>
    </row>
    <row r="27" spans="1:11" x14ac:dyDescent="0.45">
      <c r="A27" s="7" t="s">
        <v>72</v>
      </c>
      <c r="B27" s="9" t="s">
        <v>110</v>
      </c>
      <c r="C27" s="5" t="s">
        <v>40</v>
      </c>
      <c r="D27" s="1">
        <v>4.4400000000000004</v>
      </c>
      <c r="E27" s="3" t="s">
        <v>41</v>
      </c>
      <c r="F27" s="8">
        <f t="shared" si="1"/>
        <v>466982</v>
      </c>
      <c r="G27" s="8">
        <f t="shared" si="0"/>
        <v>350236.5</v>
      </c>
      <c r="H27" s="2">
        <v>233491</v>
      </c>
      <c r="I27" s="2"/>
      <c r="J27" s="7"/>
      <c r="K27" s="7"/>
    </row>
    <row r="28" spans="1:11" x14ac:dyDescent="0.45">
      <c r="A28" s="7" t="s">
        <v>73</v>
      </c>
      <c r="B28" s="9" t="s">
        <v>111</v>
      </c>
      <c r="C28" s="5" t="s">
        <v>42</v>
      </c>
      <c r="D28" s="1">
        <v>3.6</v>
      </c>
      <c r="E28" s="3" t="s">
        <v>41</v>
      </c>
      <c r="F28" s="8">
        <f t="shared" si="1"/>
        <v>118286</v>
      </c>
      <c r="G28" s="8">
        <f t="shared" si="0"/>
        <v>88714.5</v>
      </c>
      <c r="H28" s="2">
        <v>59143</v>
      </c>
      <c r="I28" s="2"/>
      <c r="J28" s="7"/>
      <c r="K28" s="7"/>
    </row>
    <row r="29" spans="1:11" x14ac:dyDescent="0.45">
      <c r="A29" s="7" t="s">
        <v>74</v>
      </c>
      <c r="B29" s="9" t="s">
        <v>112</v>
      </c>
      <c r="C29" s="5" t="s">
        <v>43</v>
      </c>
      <c r="D29" s="1">
        <v>6.6</v>
      </c>
      <c r="E29" s="3" t="s">
        <v>41</v>
      </c>
      <c r="F29" s="8">
        <f t="shared" si="1"/>
        <v>487500</v>
      </c>
      <c r="G29" s="8">
        <f t="shared" si="0"/>
        <v>365625</v>
      </c>
      <c r="H29" s="2">
        <v>243750</v>
      </c>
      <c r="I29" s="2"/>
      <c r="J29" s="7"/>
      <c r="K29" s="7"/>
    </row>
    <row r="30" spans="1:11" x14ac:dyDescent="0.45">
      <c r="A30" s="7" t="s">
        <v>75</v>
      </c>
      <c r="B30" s="9" t="s">
        <v>113</v>
      </c>
      <c r="C30" s="5" t="s">
        <v>44</v>
      </c>
      <c r="D30" s="1">
        <v>60000</v>
      </c>
      <c r="E30" s="3" t="s">
        <v>16</v>
      </c>
      <c r="F30" s="8">
        <f t="shared" si="1"/>
        <v>672</v>
      </c>
      <c r="G30" s="8">
        <f t="shared" si="0"/>
        <v>504</v>
      </c>
      <c r="H30" s="2">
        <v>336</v>
      </c>
      <c r="I30" s="2"/>
      <c r="J30" s="7"/>
      <c r="K30" s="7"/>
    </row>
    <row r="31" spans="1:11" x14ac:dyDescent="0.45">
      <c r="A31" s="7" t="s">
        <v>76</v>
      </c>
      <c r="B31" s="9" t="s">
        <v>114</v>
      </c>
      <c r="C31" s="6" t="s">
        <v>83</v>
      </c>
      <c r="D31" s="1">
        <v>5012</v>
      </c>
      <c r="E31" s="3" t="s">
        <v>16</v>
      </c>
      <c r="F31" s="8">
        <f t="shared" si="1"/>
        <v>212</v>
      </c>
      <c r="G31" s="8">
        <f t="shared" si="0"/>
        <v>159</v>
      </c>
      <c r="H31" s="2">
        <v>106</v>
      </c>
      <c r="I31" s="2"/>
      <c r="J31" s="7"/>
      <c r="K31" s="7"/>
    </row>
    <row r="32" spans="1:11" x14ac:dyDescent="0.45">
      <c r="A32" s="7" t="s">
        <v>77</v>
      </c>
      <c r="B32" s="9" t="s">
        <v>115</v>
      </c>
      <c r="C32" s="6" t="s">
        <v>84</v>
      </c>
      <c r="D32" s="1">
        <v>10038</v>
      </c>
      <c r="E32" s="3" t="s">
        <v>16</v>
      </c>
      <c r="F32" s="8">
        <f t="shared" si="1"/>
        <v>7566</v>
      </c>
      <c r="G32" s="8">
        <f t="shared" si="0"/>
        <v>5674.5</v>
      </c>
      <c r="H32" s="2">
        <v>3783</v>
      </c>
      <c r="I32" s="2"/>
      <c r="J32" s="7"/>
      <c r="K32" s="7"/>
    </row>
    <row r="33" spans="1:11" x14ac:dyDescent="0.45">
      <c r="A33" s="7" t="s">
        <v>78</v>
      </c>
      <c r="B33" s="9" t="s">
        <v>116</v>
      </c>
      <c r="C33" s="5" t="s">
        <v>45</v>
      </c>
      <c r="D33" s="1">
        <v>4950</v>
      </c>
      <c r="E33" s="3" t="s">
        <v>14</v>
      </c>
      <c r="F33" s="8">
        <f t="shared" si="1"/>
        <v>322</v>
      </c>
      <c r="G33" s="8">
        <f t="shared" si="0"/>
        <v>241.5</v>
      </c>
      <c r="H33" s="2">
        <v>161</v>
      </c>
      <c r="I33" s="2"/>
      <c r="J33" s="7"/>
      <c r="K33" s="7"/>
    </row>
    <row r="34" spans="1:11" x14ac:dyDescent="0.45">
      <c r="A34" s="7" t="s">
        <v>79</v>
      </c>
      <c r="B34" s="9" t="s">
        <v>117</v>
      </c>
      <c r="C34" s="5" t="s">
        <v>46</v>
      </c>
      <c r="D34" s="1">
        <v>4950</v>
      </c>
      <c r="E34" s="3" t="s">
        <v>16</v>
      </c>
      <c r="F34" s="8">
        <f t="shared" si="1"/>
        <v>88</v>
      </c>
      <c r="G34" s="8">
        <f t="shared" si="0"/>
        <v>66</v>
      </c>
      <c r="H34" s="2">
        <v>44</v>
      </c>
      <c r="I34" s="2"/>
      <c r="J34" s="7"/>
      <c r="K34" s="7"/>
    </row>
    <row r="35" spans="1:11" x14ac:dyDescent="0.45">
      <c r="A35" s="7" t="s">
        <v>80</v>
      </c>
      <c r="B35" s="9" t="s">
        <v>118</v>
      </c>
      <c r="C35" s="5" t="s">
        <v>47</v>
      </c>
      <c r="D35" s="1">
        <v>62994.57</v>
      </c>
      <c r="E35" s="3" t="s">
        <v>16</v>
      </c>
      <c r="F35" s="8">
        <f t="shared" si="1"/>
        <v>218</v>
      </c>
      <c r="G35" s="8">
        <f t="shared" si="0"/>
        <v>163.5</v>
      </c>
      <c r="H35" s="2">
        <v>109</v>
      </c>
      <c r="I35" s="2"/>
      <c r="J35" s="7"/>
      <c r="K35" s="7"/>
    </row>
    <row r="36" spans="1:11" x14ac:dyDescent="0.45">
      <c r="A36" s="7" t="s">
        <v>81</v>
      </c>
      <c r="B36" s="9" t="s">
        <v>119</v>
      </c>
      <c r="C36" s="5" t="s">
        <v>48</v>
      </c>
      <c r="D36" s="1">
        <v>150</v>
      </c>
      <c r="E36" s="3" t="s">
        <v>27</v>
      </c>
      <c r="F36" s="8">
        <f t="shared" si="1"/>
        <v>3394</v>
      </c>
      <c r="G36" s="8">
        <f t="shared" si="0"/>
        <v>2545.5</v>
      </c>
      <c r="H36" s="2">
        <v>1697</v>
      </c>
      <c r="I36" s="2"/>
      <c r="J36" s="7"/>
      <c r="K36" s="7"/>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Vishvanath A</dc:creator>
  <cp:lastModifiedBy>Vishvanath A</cp:lastModifiedBy>
  <dcterms:created xsi:type="dcterms:W3CDTF">2026-01-02T04:15:50Z</dcterms:created>
  <dcterms:modified xsi:type="dcterms:W3CDTF">2026-01-02T04:45:49Z</dcterms:modified>
</cp:coreProperties>
</file>
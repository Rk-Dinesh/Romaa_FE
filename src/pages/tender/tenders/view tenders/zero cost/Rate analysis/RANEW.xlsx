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echi/Romaa/ExcelTemp/Tender/"/>
    </mc:Choice>
  </mc:AlternateContent>
  <xr:revisionPtr revIDLastSave="0" documentId="13_ncr:1_{E4DCCF8C-0ABC-F44F-A678-693BC9B4C4A4}" xr6:coauthVersionLast="47" xr6:coauthVersionMax="47" xr10:uidLastSave="{00000000-0000-0000-0000-000000000000}"/>
  <bookViews>
    <workbookView xWindow="0" yWindow="0" windowWidth="28800" windowHeight="18000" xr2:uid="{7A680C2C-A4BA-4FED-AA6B-5FB628350A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4" i="1" l="1"/>
  <c r="E83" i="1"/>
  <c r="E82" i="1"/>
  <c r="E81" i="1"/>
  <c r="E80" i="1"/>
  <c r="E79" i="1"/>
  <c r="E59" i="1"/>
  <c r="E58" i="1"/>
  <c r="E57" i="1"/>
  <c r="E51" i="1"/>
  <c r="E50" i="1"/>
  <c r="E49" i="1"/>
  <c r="E48" i="1"/>
  <c r="E47" i="1"/>
  <c r="E41" i="1"/>
  <c r="E40" i="1"/>
  <c r="E39" i="1"/>
  <c r="E38" i="1"/>
  <c r="E37" i="1"/>
  <c r="E31" i="1"/>
  <c r="E30" i="1"/>
  <c r="E29" i="1"/>
  <c r="E28" i="1"/>
  <c r="E27" i="1"/>
</calcChain>
</file>

<file path=xl/sharedStrings.xml><?xml version="1.0" encoding="utf-8"?>
<sst xmlns="http://schemas.openxmlformats.org/spreadsheetml/2006/main" count="779" uniqueCount="94">
  <si>
    <t>ABS001</t>
  </si>
  <si>
    <t>MAIN_ITEM</t>
  </si>
  <si>
    <t>Cum</t>
  </si>
  <si>
    <t>MY-M</t>
  </si>
  <si>
    <t>Hire JCB</t>
  </si>
  <si>
    <t>Month</t>
  </si>
  <si>
    <t>MY-F</t>
  </si>
  <si>
    <t>Diesel</t>
  </si>
  <si>
    <t>Lit</t>
  </si>
  <si>
    <t>MP-C</t>
  </si>
  <si>
    <t>MP-NMR</t>
  </si>
  <si>
    <t>Helpers</t>
  </si>
  <si>
    <t>Nos</t>
  </si>
  <si>
    <t>ABS002</t>
  </si>
  <si>
    <t>ITEM_ID</t>
  </si>
  <si>
    <t>CATEGORY</t>
  </si>
  <si>
    <t>DESCRIPTION</t>
  </si>
  <si>
    <t>UNIT</t>
  </si>
  <si>
    <t>WORKING_QUANTITY</t>
  </si>
  <si>
    <t>RATE</t>
  </si>
  <si>
    <t>Cement</t>
  </si>
  <si>
    <t>Bags</t>
  </si>
  <si>
    <t>MT-CM</t>
  </si>
  <si>
    <t>MT-BL</t>
  </si>
  <si>
    <t>Sqm</t>
  </si>
  <si>
    <t>Day</t>
  </si>
  <si>
    <t>Hire Excavator</t>
  </si>
  <si>
    <t>ABS003</t>
  </si>
  <si>
    <t>ABS004</t>
  </si>
  <si>
    <t>Shuttering</t>
  </si>
  <si>
    <t>ABS005</t>
  </si>
  <si>
    <t>Staging</t>
  </si>
  <si>
    <t>ABS006</t>
  </si>
  <si>
    <t>ABS007</t>
  </si>
  <si>
    <t>ABS008</t>
  </si>
  <si>
    <t>River Sand</t>
  </si>
  <si>
    <t>Unit</t>
  </si>
  <si>
    <t>Msand</t>
  </si>
  <si>
    <t>40mm</t>
  </si>
  <si>
    <t>Water</t>
  </si>
  <si>
    <t>Laying</t>
  </si>
  <si>
    <t>Sectioning</t>
  </si>
  <si>
    <t>Hire SLM</t>
  </si>
  <si>
    <t>ABS009</t>
  </si>
  <si>
    <t>ABS010</t>
  </si>
  <si>
    <t>ABS011</t>
  </si>
  <si>
    <t>20mm</t>
  </si>
  <si>
    <t xml:space="preserve">ABS011 </t>
  </si>
  <si>
    <t>ABS012</t>
  </si>
  <si>
    <t>ABS013</t>
  </si>
  <si>
    <t>ABS014</t>
  </si>
  <si>
    <t>ABS015</t>
  </si>
  <si>
    <t>ABS016</t>
  </si>
  <si>
    <t>ABS017</t>
  </si>
  <si>
    <t>ABS018</t>
  </si>
  <si>
    <t>ABS019</t>
  </si>
  <si>
    <t>NO</t>
  </si>
  <si>
    <t>TMT Steel</t>
  </si>
  <si>
    <t>MT</t>
  </si>
  <si>
    <t>Bibdibg Wire</t>
  </si>
  <si>
    <t>Kg</t>
  </si>
  <si>
    <t>Cover Block</t>
  </si>
  <si>
    <t>L.S</t>
  </si>
  <si>
    <t>Steel</t>
  </si>
  <si>
    <t>Qtl</t>
  </si>
  <si>
    <t>Loading,Unloading</t>
  </si>
  <si>
    <t>ABS020</t>
  </si>
  <si>
    <t>Dust</t>
  </si>
  <si>
    <t>ABS021</t>
  </si>
  <si>
    <t>GSB Mixed 20,40,60mm</t>
  </si>
  <si>
    <t xml:space="preserve">Baby Roller </t>
  </si>
  <si>
    <t xml:space="preserve">ABS021 </t>
  </si>
  <si>
    <t>ABS022</t>
  </si>
  <si>
    <t xml:space="preserve">Cum </t>
  </si>
  <si>
    <t>Gravel</t>
  </si>
  <si>
    <t xml:space="preserve">MP-C </t>
  </si>
  <si>
    <t>ABS023</t>
  </si>
  <si>
    <t>Boulders 30mm and Above</t>
  </si>
  <si>
    <t>ABS024</t>
  </si>
  <si>
    <t>ABS025</t>
  </si>
  <si>
    <t>ABS029</t>
  </si>
  <si>
    <t>Tipper</t>
  </si>
  <si>
    <t>ABS030</t>
  </si>
  <si>
    <t>ABS031</t>
  </si>
  <si>
    <t>MAINT_ITEM</t>
  </si>
  <si>
    <t>Gabion Wall Mesh</t>
  </si>
  <si>
    <t>Boulders</t>
  </si>
  <si>
    <t>Fixing</t>
  </si>
  <si>
    <t>ABS032</t>
  </si>
  <si>
    <t>Needle</t>
  </si>
  <si>
    <t>ABS033</t>
  </si>
  <si>
    <t>Hire Exacavator</t>
  </si>
  <si>
    <t>ABS034</t>
  </si>
  <si>
    <t>Dozer M50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</si>
</sst>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mbria"/>
      <family val="1"/>
    </font>
    <font>
      <sz val="11"/>
      <color rgb="FFC00000"/>
      <name val="Cambria"/>
      <family val="1"/>
    </font>
    <font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1">
    <xf numFmtId="0" fontId="0" fillId="0" borderId="0" xfId="0"/>
    <xf numFmtId="0" fontId="2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164" fontId="2" fillId="0" borderId="0" xfId="1" applyFont="1" applyFill="1" applyBorder="1" applyAlignment="1">
      <alignment horizontal="left" vertical="center"/>
    </xf>
    <xf numFmtId="43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3" fontId="3" fillId="0" borderId="0" xfId="0" applyNumberFormat="1" applyFont="1" applyAlignment="1">
      <alignment horizontal="left" vertical="center"/>
    </xf>
    <xf numFmtId="164" fontId="3" fillId="0" borderId="0" xfId="1" applyFont="1" applyFill="1" applyBorder="1" applyAlignment="1">
      <alignment horizontal="left" vertical="center"/>
    </xf>
    <xf numFmtId="0" fontId="4" fillId="0" borderId="0" xfId="0" applyFont="1"/>
    <xf numFmtId="0" fontId="3" fillId="0" borderId="0" xfId="0" applyFont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209C6-4614-4F46-8222-CEC2192D5132}">
  <dimension ref="A1:F202"/>
  <sheetViews>
    <sheetView tabSelected="1" zoomScale="150" workbookViewId="0">
      <selection activeCell="G209" sqref="G209"/>
    </sheetView>
  </sheetViews>
  <sheetFormatPr baseColWidth="10" defaultColWidth="8.83203125" defaultRowHeight="15" x14ac:dyDescent="0.2"/>
  <cols>
    <col min="1" max="1" width="13.33203125" style="2" customWidth="1"/>
    <col min="2" max="2" width="23.1640625" style="2" customWidth="1"/>
    <col min="3" max="3" width="17.5" style="2" customWidth="1"/>
    <col min="4" max="4" width="11.6640625" style="2" customWidth="1"/>
    <col min="5" max="5" width="25" style="2" customWidth="1"/>
    <col min="6" max="6" width="9.83203125" style="2" bestFit="1" customWidth="1"/>
  </cols>
  <sheetData>
    <row r="1" spans="1:6" x14ac:dyDescent="0.2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</row>
    <row r="2" spans="1:6" s="9" customFormat="1" x14ac:dyDescent="0.2">
      <c r="A2" s="10" t="s">
        <v>0</v>
      </c>
      <c r="B2" s="10" t="s">
        <v>1</v>
      </c>
      <c r="C2" s="10"/>
      <c r="D2" s="10" t="s">
        <v>24</v>
      </c>
      <c r="E2" s="10">
        <v>1520.56</v>
      </c>
      <c r="F2" s="10"/>
    </row>
    <row r="3" spans="1:6" x14ac:dyDescent="0.2">
      <c r="A3" s="2" t="s">
        <v>0</v>
      </c>
      <c r="B3" s="2" t="s">
        <v>3</v>
      </c>
      <c r="C3" s="2" t="s">
        <v>4</v>
      </c>
      <c r="D3" s="2" t="s">
        <v>25</v>
      </c>
      <c r="E3" s="2">
        <v>1</v>
      </c>
      <c r="F3" s="2">
        <v>6500</v>
      </c>
    </row>
    <row r="4" spans="1:6" x14ac:dyDescent="0.2">
      <c r="A4" s="2" t="s">
        <v>0</v>
      </c>
      <c r="B4" s="2" t="s">
        <v>3</v>
      </c>
      <c r="C4" s="2" t="s">
        <v>26</v>
      </c>
      <c r="D4" s="2" t="s">
        <v>25</v>
      </c>
      <c r="E4" s="2">
        <v>1</v>
      </c>
      <c r="F4" s="2">
        <v>5384.62</v>
      </c>
    </row>
    <row r="5" spans="1:6" x14ac:dyDescent="0.2">
      <c r="A5" s="2" t="s">
        <v>0</v>
      </c>
      <c r="B5" s="2" t="s">
        <v>6</v>
      </c>
      <c r="C5" s="2" t="s">
        <v>7</v>
      </c>
      <c r="D5" s="2" t="s">
        <v>8</v>
      </c>
      <c r="E5" s="2">
        <v>54</v>
      </c>
      <c r="F5" s="2">
        <v>96</v>
      </c>
    </row>
    <row r="6" spans="1:6" x14ac:dyDescent="0.2">
      <c r="A6" s="2" t="s">
        <v>0</v>
      </c>
      <c r="B6" s="2" t="s">
        <v>10</v>
      </c>
      <c r="C6" s="2" t="s">
        <v>11</v>
      </c>
      <c r="D6" s="2" t="s">
        <v>12</v>
      </c>
      <c r="E6" s="2">
        <v>1</v>
      </c>
      <c r="F6" s="2">
        <v>700</v>
      </c>
    </row>
    <row r="7" spans="1:6" s="9" customFormat="1" x14ac:dyDescent="0.2">
      <c r="A7" s="10" t="s">
        <v>13</v>
      </c>
      <c r="B7" s="10" t="s">
        <v>1</v>
      </c>
      <c r="C7" s="10"/>
      <c r="D7" s="10" t="s">
        <v>2</v>
      </c>
      <c r="E7" s="10">
        <v>87.57</v>
      </c>
      <c r="F7" s="10"/>
    </row>
    <row r="8" spans="1:6" x14ac:dyDescent="0.2">
      <c r="A8" s="2" t="s">
        <v>13</v>
      </c>
      <c r="B8" s="2" t="s">
        <v>3</v>
      </c>
      <c r="C8" s="2" t="s">
        <v>26</v>
      </c>
      <c r="D8" s="2" t="s">
        <v>25</v>
      </c>
      <c r="E8" s="2">
        <v>2</v>
      </c>
      <c r="F8" s="2">
        <v>5384.62</v>
      </c>
    </row>
    <row r="9" spans="1:6" x14ac:dyDescent="0.2">
      <c r="A9" s="2" t="s">
        <v>13</v>
      </c>
      <c r="B9" s="2" t="s">
        <v>6</v>
      </c>
      <c r="C9" s="2" t="s">
        <v>7</v>
      </c>
      <c r="D9" s="2" t="s">
        <v>8</v>
      </c>
      <c r="E9" s="2">
        <v>96</v>
      </c>
      <c r="F9" s="2">
        <v>96</v>
      </c>
    </row>
    <row r="10" spans="1:6" x14ac:dyDescent="0.2">
      <c r="A10" s="2" t="s">
        <v>13</v>
      </c>
      <c r="B10" s="2" t="s">
        <v>10</v>
      </c>
      <c r="C10" s="2" t="s">
        <v>11</v>
      </c>
      <c r="D10" s="2" t="s">
        <v>12</v>
      </c>
      <c r="E10" s="2">
        <v>2</v>
      </c>
      <c r="F10" s="2">
        <v>700</v>
      </c>
    </row>
    <row r="11" spans="1:6" s="9" customFormat="1" x14ac:dyDescent="0.2">
      <c r="A11" s="6" t="s">
        <v>27</v>
      </c>
      <c r="B11" s="6" t="s">
        <v>1</v>
      </c>
      <c r="C11" s="7"/>
      <c r="D11" s="6" t="s">
        <v>2</v>
      </c>
      <c r="E11" s="6">
        <v>489.68</v>
      </c>
      <c r="F11" s="8"/>
    </row>
    <row r="12" spans="1:6" x14ac:dyDescent="0.2">
      <c r="A12" s="3" t="s">
        <v>27</v>
      </c>
      <c r="B12" s="3" t="s">
        <v>3</v>
      </c>
      <c r="C12" s="3" t="s">
        <v>26</v>
      </c>
      <c r="D12" s="3" t="s">
        <v>25</v>
      </c>
      <c r="E12" s="3">
        <v>2</v>
      </c>
      <c r="F12" s="4">
        <v>5384.62</v>
      </c>
    </row>
    <row r="13" spans="1:6" x14ac:dyDescent="0.2">
      <c r="A13" s="3" t="s">
        <v>27</v>
      </c>
      <c r="B13" s="3" t="s">
        <v>6</v>
      </c>
      <c r="C13" s="3" t="s">
        <v>7</v>
      </c>
      <c r="D13" s="3" t="s">
        <v>8</v>
      </c>
      <c r="E13" s="3">
        <v>112</v>
      </c>
      <c r="F13" s="4">
        <v>96</v>
      </c>
    </row>
    <row r="14" spans="1:6" x14ac:dyDescent="0.2">
      <c r="A14" s="3" t="s">
        <v>27</v>
      </c>
      <c r="B14" s="3" t="s">
        <v>10</v>
      </c>
      <c r="C14" s="3" t="s">
        <v>11</v>
      </c>
      <c r="D14" s="3" t="s">
        <v>12</v>
      </c>
      <c r="E14" s="3">
        <v>2</v>
      </c>
      <c r="F14" s="4">
        <v>700</v>
      </c>
    </row>
    <row r="15" spans="1:6" s="9" customFormat="1" x14ac:dyDescent="0.2">
      <c r="A15" s="6" t="s">
        <v>28</v>
      </c>
      <c r="B15" s="6" t="s">
        <v>1</v>
      </c>
      <c r="C15" s="6"/>
      <c r="D15" s="6" t="s">
        <v>24</v>
      </c>
      <c r="E15" s="6">
        <v>1</v>
      </c>
      <c r="F15" s="8"/>
    </row>
    <row r="16" spans="1:6" x14ac:dyDescent="0.2">
      <c r="A16" s="3" t="s">
        <v>28</v>
      </c>
      <c r="B16" s="3" t="s">
        <v>9</v>
      </c>
      <c r="C16" s="3" t="s">
        <v>29</v>
      </c>
      <c r="D16" s="3" t="s">
        <v>24</v>
      </c>
      <c r="E16" s="3">
        <v>1</v>
      </c>
      <c r="F16" s="4">
        <v>494.96</v>
      </c>
    </row>
    <row r="17" spans="1:6" s="9" customFormat="1" x14ac:dyDescent="0.2">
      <c r="A17" s="6" t="s">
        <v>30</v>
      </c>
      <c r="B17" s="6" t="s">
        <v>1</v>
      </c>
      <c r="C17" s="6"/>
      <c r="D17" s="6" t="s">
        <v>24</v>
      </c>
      <c r="E17" s="6">
        <v>1</v>
      </c>
      <c r="F17" s="8"/>
    </row>
    <row r="18" spans="1:6" x14ac:dyDescent="0.2">
      <c r="A18" s="3" t="s">
        <v>30</v>
      </c>
      <c r="B18" s="3" t="s">
        <v>9</v>
      </c>
      <c r="C18" s="3" t="s">
        <v>29</v>
      </c>
      <c r="D18" s="3" t="s">
        <v>24</v>
      </c>
      <c r="E18" s="3">
        <v>1</v>
      </c>
      <c r="F18" s="4">
        <v>538</v>
      </c>
    </row>
    <row r="19" spans="1:6" x14ac:dyDescent="0.2">
      <c r="A19" s="3" t="s">
        <v>30</v>
      </c>
      <c r="B19" s="3" t="s">
        <v>9</v>
      </c>
      <c r="C19" s="3" t="s">
        <v>31</v>
      </c>
      <c r="D19" s="3" t="s">
        <v>24</v>
      </c>
      <c r="E19" s="3">
        <v>1</v>
      </c>
      <c r="F19" s="4">
        <v>64.56</v>
      </c>
    </row>
    <row r="20" spans="1:6" s="9" customFormat="1" x14ac:dyDescent="0.2">
      <c r="A20" s="6" t="s">
        <v>32</v>
      </c>
      <c r="B20" s="6" t="s">
        <v>1</v>
      </c>
      <c r="C20" s="6"/>
      <c r="D20" s="6" t="s">
        <v>24</v>
      </c>
      <c r="E20" s="6">
        <v>1</v>
      </c>
      <c r="F20" s="8"/>
    </row>
    <row r="21" spans="1:6" x14ac:dyDescent="0.2">
      <c r="A21" s="3" t="s">
        <v>32</v>
      </c>
      <c r="B21" s="3" t="s">
        <v>9</v>
      </c>
      <c r="C21" s="3" t="s">
        <v>29</v>
      </c>
      <c r="D21" s="3" t="s">
        <v>24</v>
      </c>
      <c r="E21" s="3">
        <v>1</v>
      </c>
      <c r="F21" s="4">
        <v>538</v>
      </c>
    </row>
    <row r="22" spans="1:6" x14ac:dyDescent="0.2">
      <c r="A22" s="3" t="s">
        <v>32</v>
      </c>
      <c r="B22" s="3" t="s">
        <v>9</v>
      </c>
      <c r="C22" s="3" t="s">
        <v>31</v>
      </c>
      <c r="D22" s="3" t="s">
        <v>24</v>
      </c>
      <c r="E22" s="3">
        <v>1</v>
      </c>
      <c r="F22" s="4">
        <v>64.56</v>
      </c>
    </row>
    <row r="23" spans="1:6" s="9" customFormat="1" x14ac:dyDescent="0.2">
      <c r="A23" s="6" t="s">
        <v>33</v>
      </c>
      <c r="B23" s="6" t="s">
        <v>1</v>
      </c>
      <c r="C23" s="6"/>
      <c r="D23" s="6" t="s">
        <v>24</v>
      </c>
      <c r="E23" s="6">
        <v>1</v>
      </c>
      <c r="F23" s="8"/>
    </row>
    <row r="24" spans="1:6" x14ac:dyDescent="0.2">
      <c r="A24" s="3" t="s">
        <v>33</v>
      </c>
      <c r="B24" s="3" t="s">
        <v>9</v>
      </c>
      <c r="C24" s="3" t="s">
        <v>29</v>
      </c>
      <c r="D24" s="3" t="s">
        <v>24</v>
      </c>
      <c r="E24" s="3">
        <v>1</v>
      </c>
      <c r="F24" s="4">
        <v>591.79999999999995</v>
      </c>
    </row>
    <row r="25" spans="1:6" x14ac:dyDescent="0.2">
      <c r="A25" s="3" t="s">
        <v>33</v>
      </c>
      <c r="B25" s="3" t="s">
        <v>9</v>
      </c>
      <c r="C25" s="3" t="s">
        <v>31</v>
      </c>
      <c r="D25" s="3" t="s">
        <v>24</v>
      </c>
      <c r="E25" s="3">
        <v>1</v>
      </c>
      <c r="F25" s="4">
        <v>64.56</v>
      </c>
    </row>
    <row r="26" spans="1:6" s="9" customFormat="1" x14ac:dyDescent="0.2">
      <c r="A26" s="6" t="s">
        <v>34</v>
      </c>
      <c r="B26" s="6" t="s">
        <v>1</v>
      </c>
      <c r="C26" s="6"/>
      <c r="D26" s="6" t="s">
        <v>2</v>
      </c>
      <c r="E26" s="6">
        <v>10</v>
      </c>
      <c r="F26" s="8"/>
    </row>
    <row r="27" spans="1:6" x14ac:dyDescent="0.2">
      <c r="A27" s="3" t="s">
        <v>34</v>
      </c>
      <c r="B27" s="3" t="s">
        <v>23</v>
      </c>
      <c r="C27" s="3" t="s">
        <v>20</v>
      </c>
      <c r="D27" s="3" t="s">
        <v>21</v>
      </c>
      <c r="E27" s="3">
        <f>2.5*E26</f>
        <v>25</v>
      </c>
      <c r="F27" s="4">
        <v>250</v>
      </c>
    </row>
    <row r="28" spans="1:6" x14ac:dyDescent="0.2">
      <c r="A28" s="3" t="s">
        <v>34</v>
      </c>
      <c r="B28" s="3" t="s">
        <v>23</v>
      </c>
      <c r="C28" s="3" t="s">
        <v>35</v>
      </c>
      <c r="D28" s="3" t="s">
        <v>36</v>
      </c>
      <c r="E28" s="3">
        <f>0.19*E26</f>
        <v>1.9</v>
      </c>
      <c r="F28" s="4">
        <v>800</v>
      </c>
    </row>
    <row r="29" spans="1:6" x14ac:dyDescent="0.2">
      <c r="A29" s="3" t="s">
        <v>34</v>
      </c>
      <c r="B29" s="3" t="s">
        <v>23</v>
      </c>
      <c r="C29" s="3" t="s">
        <v>37</v>
      </c>
      <c r="D29" s="3" t="s">
        <v>36</v>
      </c>
      <c r="E29" s="3">
        <f>0.01*10</f>
        <v>0.1</v>
      </c>
      <c r="F29" s="4">
        <v>6400</v>
      </c>
    </row>
    <row r="30" spans="1:6" x14ac:dyDescent="0.2">
      <c r="A30" s="3" t="s">
        <v>34</v>
      </c>
      <c r="B30" s="3" t="s">
        <v>22</v>
      </c>
      <c r="C30" s="3" t="s">
        <v>38</v>
      </c>
      <c r="D30" s="3" t="s">
        <v>36</v>
      </c>
      <c r="E30" s="3">
        <f>0.3*10</f>
        <v>3</v>
      </c>
      <c r="F30" s="4">
        <v>3800</v>
      </c>
    </row>
    <row r="31" spans="1:6" x14ac:dyDescent="0.2">
      <c r="A31" s="3" t="s">
        <v>34</v>
      </c>
      <c r="B31" s="3" t="s">
        <v>22</v>
      </c>
      <c r="C31" s="3" t="s">
        <v>39</v>
      </c>
      <c r="D31" s="3" t="s">
        <v>8</v>
      </c>
      <c r="E31" s="3">
        <f>200*10</f>
        <v>2000</v>
      </c>
      <c r="F31" s="4">
        <v>0.2</v>
      </c>
    </row>
    <row r="32" spans="1:6" x14ac:dyDescent="0.2">
      <c r="A32" s="3" t="s">
        <v>34</v>
      </c>
      <c r="B32" s="3" t="s">
        <v>9</v>
      </c>
      <c r="C32" s="3" t="s">
        <v>40</v>
      </c>
      <c r="D32" s="3" t="s">
        <v>2</v>
      </c>
      <c r="E32" s="3">
        <v>1</v>
      </c>
      <c r="F32" s="4">
        <v>350</v>
      </c>
    </row>
    <row r="33" spans="1:6" x14ac:dyDescent="0.2">
      <c r="A33" s="3" t="s">
        <v>34</v>
      </c>
      <c r="B33" s="3" t="s">
        <v>9</v>
      </c>
      <c r="C33" s="3" t="s">
        <v>41</v>
      </c>
      <c r="D33" s="3" t="s">
        <v>2</v>
      </c>
      <c r="E33" s="3">
        <v>1</v>
      </c>
      <c r="F33" s="4">
        <v>200</v>
      </c>
    </row>
    <row r="34" spans="1:6" x14ac:dyDescent="0.2">
      <c r="A34" s="3" t="s">
        <v>34</v>
      </c>
      <c r="B34" s="3" t="s">
        <v>3</v>
      </c>
      <c r="C34" s="3" t="s">
        <v>42</v>
      </c>
      <c r="D34" s="3" t="s">
        <v>25</v>
      </c>
      <c r="E34" s="3">
        <v>1</v>
      </c>
      <c r="F34" s="4">
        <v>7115.38</v>
      </c>
    </row>
    <row r="35" spans="1:6" x14ac:dyDescent="0.2">
      <c r="A35" s="3" t="s">
        <v>34</v>
      </c>
      <c r="B35" s="3" t="s">
        <v>6</v>
      </c>
      <c r="C35" s="3" t="s">
        <v>7</v>
      </c>
      <c r="D35" s="3" t="s">
        <v>8</v>
      </c>
      <c r="E35" s="3">
        <v>28</v>
      </c>
      <c r="F35" s="4">
        <v>96</v>
      </c>
    </row>
    <row r="36" spans="1:6" s="9" customFormat="1" x14ac:dyDescent="0.2">
      <c r="A36" s="6" t="s">
        <v>43</v>
      </c>
      <c r="B36" s="6" t="s">
        <v>1</v>
      </c>
      <c r="C36" s="6"/>
      <c r="D36" s="6" t="s">
        <v>2</v>
      </c>
      <c r="E36" s="6">
        <v>12</v>
      </c>
      <c r="F36" s="8"/>
    </row>
    <row r="37" spans="1:6" x14ac:dyDescent="0.2">
      <c r="A37" s="3" t="s">
        <v>43</v>
      </c>
      <c r="B37" s="3" t="s">
        <v>23</v>
      </c>
      <c r="C37" s="3" t="s">
        <v>20</v>
      </c>
      <c r="D37" s="3" t="s">
        <v>21</v>
      </c>
      <c r="E37" s="3">
        <f>3.5*E36</f>
        <v>42</v>
      </c>
      <c r="F37" s="4">
        <v>250</v>
      </c>
    </row>
    <row r="38" spans="1:6" x14ac:dyDescent="0.2">
      <c r="A38" s="3" t="s">
        <v>43</v>
      </c>
      <c r="B38" s="3" t="s">
        <v>23</v>
      </c>
      <c r="C38" s="3" t="s">
        <v>35</v>
      </c>
      <c r="D38" s="3" t="s">
        <v>36</v>
      </c>
      <c r="E38" s="3">
        <f>0.19*E36</f>
        <v>2.2800000000000002</v>
      </c>
      <c r="F38" s="4">
        <v>800</v>
      </c>
    </row>
    <row r="39" spans="1:6" x14ac:dyDescent="0.2">
      <c r="A39" s="3" t="s">
        <v>43</v>
      </c>
      <c r="B39" s="3" t="s">
        <v>23</v>
      </c>
      <c r="C39" s="3" t="s">
        <v>37</v>
      </c>
      <c r="D39" s="3" t="s">
        <v>36</v>
      </c>
      <c r="E39" s="3">
        <f>0.01*E36</f>
        <v>0.12</v>
      </c>
      <c r="F39" s="4">
        <v>6400</v>
      </c>
    </row>
    <row r="40" spans="1:6" x14ac:dyDescent="0.2">
      <c r="A40" s="3" t="s">
        <v>43</v>
      </c>
      <c r="B40" s="3" t="s">
        <v>22</v>
      </c>
      <c r="C40" s="3" t="s">
        <v>38</v>
      </c>
      <c r="D40" s="3" t="s">
        <v>36</v>
      </c>
      <c r="E40" s="3">
        <f>0.3*E36</f>
        <v>3.5999999999999996</v>
      </c>
      <c r="F40" s="4">
        <v>3800</v>
      </c>
    </row>
    <row r="41" spans="1:6" x14ac:dyDescent="0.2">
      <c r="A41" s="3" t="s">
        <v>43</v>
      </c>
      <c r="B41" s="3" t="s">
        <v>22</v>
      </c>
      <c r="C41" s="3" t="s">
        <v>39</v>
      </c>
      <c r="D41" s="3" t="s">
        <v>8</v>
      </c>
      <c r="E41" s="3">
        <f>200*E36</f>
        <v>2400</v>
      </c>
      <c r="F41" s="4">
        <v>0.2</v>
      </c>
    </row>
    <row r="42" spans="1:6" x14ac:dyDescent="0.2">
      <c r="A42" s="3" t="s">
        <v>43</v>
      </c>
      <c r="B42" s="3" t="s">
        <v>9</v>
      </c>
      <c r="C42" s="3" t="s">
        <v>40</v>
      </c>
      <c r="D42" s="3" t="s">
        <v>2</v>
      </c>
      <c r="E42" s="3">
        <v>1</v>
      </c>
      <c r="F42" s="4">
        <v>350</v>
      </c>
    </row>
    <row r="43" spans="1:6" x14ac:dyDescent="0.2">
      <c r="A43" s="3" t="s">
        <v>43</v>
      </c>
      <c r="B43" s="3" t="s">
        <v>9</v>
      </c>
      <c r="C43" s="3" t="s">
        <v>41</v>
      </c>
      <c r="D43" s="3" t="s">
        <v>2</v>
      </c>
      <c r="E43" s="3">
        <v>1</v>
      </c>
      <c r="F43" s="4">
        <v>200</v>
      </c>
    </row>
    <row r="44" spans="1:6" x14ac:dyDescent="0.2">
      <c r="A44" s="3" t="s">
        <v>43</v>
      </c>
      <c r="B44" s="3" t="s">
        <v>3</v>
      </c>
      <c r="C44" s="3" t="s">
        <v>42</v>
      </c>
      <c r="D44" s="3" t="s">
        <v>25</v>
      </c>
      <c r="E44" s="3">
        <v>1</v>
      </c>
      <c r="F44" s="4">
        <v>7115.38</v>
      </c>
    </row>
    <row r="45" spans="1:6" x14ac:dyDescent="0.2">
      <c r="A45" s="3" t="s">
        <v>43</v>
      </c>
      <c r="B45" s="3" t="s">
        <v>6</v>
      </c>
      <c r="C45" s="3" t="s">
        <v>7</v>
      </c>
      <c r="D45" s="3" t="s">
        <v>8</v>
      </c>
      <c r="E45" s="3">
        <v>28</v>
      </c>
      <c r="F45" s="4">
        <v>96</v>
      </c>
    </row>
    <row r="46" spans="1:6" s="9" customFormat="1" x14ac:dyDescent="0.2">
      <c r="A46" s="6" t="s">
        <v>44</v>
      </c>
      <c r="B46" s="6" t="s">
        <v>1</v>
      </c>
      <c r="C46" s="6"/>
      <c r="D46" s="6" t="s">
        <v>2</v>
      </c>
      <c r="E46" s="6">
        <v>12</v>
      </c>
      <c r="F46" s="8"/>
    </row>
    <row r="47" spans="1:6" x14ac:dyDescent="0.2">
      <c r="A47" s="3" t="s">
        <v>44</v>
      </c>
      <c r="B47" s="3" t="s">
        <v>23</v>
      </c>
      <c r="C47" s="3" t="s">
        <v>20</v>
      </c>
      <c r="D47" s="3" t="s">
        <v>21</v>
      </c>
      <c r="E47" s="3">
        <f>3.5*E46</f>
        <v>42</v>
      </c>
      <c r="F47" s="4">
        <v>250</v>
      </c>
    </row>
    <row r="48" spans="1:6" x14ac:dyDescent="0.2">
      <c r="A48" s="3" t="s">
        <v>44</v>
      </c>
      <c r="B48" s="3" t="s">
        <v>23</v>
      </c>
      <c r="C48" s="3" t="s">
        <v>35</v>
      </c>
      <c r="D48" s="3" t="s">
        <v>36</v>
      </c>
      <c r="E48" s="3">
        <f>0.19*E46</f>
        <v>2.2800000000000002</v>
      </c>
      <c r="F48" s="4">
        <v>800</v>
      </c>
    </row>
    <row r="49" spans="1:6" x14ac:dyDescent="0.2">
      <c r="A49" s="3" t="s">
        <v>44</v>
      </c>
      <c r="B49" s="3" t="s">
        <v>23</v>
      </c>
      <c r="C49" s="3" t="s">
        <v>37</v>
      </c>
      <c r="D49" s="3" t="s">
        <v>36</v>
      </c>
      <c r="E49" s="3">
        <f>0.01*E46</f>
        <v>0.12</v>
      </c>
      <c r="F49" s="4">
        <v>6400</v>
      </c>
    </row>
    <row r="50" spans="1:6" x14ac:dyDescent="0.2">
      <c r="A50" s="3" t="s">
        <v>44</v>
      </c>
      <c r="B50" s="3" t="s">
        <v>22</v>
      </c>
      <c r="C50" s="3" t="s">
        <v>38</v>
      </c>
      <c r="D50" s="3" t="s">
        <v>36</v>
      </c>
      <c r="E50" s="3">
        <f>0.3*E46</f>
        <v>3.5999999999999996</v>
      </c>
      <c r="F50" s="4">
        <v>3800</v>
      </c>
    </row>
    <row r="51" spans="1:6" x14ac:dyDescent="0.2">
      <c r="A51" s="3" t="s">
        <v>44</v>
      </c>
      <c r="B51" s="3" t="s">
        <v>22</v>
      </c>
      <c r="C51" s="3" t="s">
        <v>39</v>
      </c>
      <c r="D51" s="3" t="s">
        <v>8</v>
      </c>
      <c r="E51" s="3">
        <f>200*E46</f>
        <v>2400</v>
      </c>
      <c r="F51" s="4">
        <v>0.2</v>
      </c>
    </row>
    <row r="52" spans="1:6" x14ac:dyDescent="0.2">
      <c r="A52" s="3" t="s">
        <v>44</v>
      </c>
      <c r="B52" s="3" t="s">
        <v>9</v>
      </c>
      <c r="C52" s="3" t="s">
        <v>40</v>
      </c>
      <c r="D52" s="3" t="s">
        <v>2</v>
      </c>
      <c r="E52" s="3">
        <v>1</v>
      </c>
      <c r="F52" s="4">
        <v>350</v>
      </c>
    </row>
    <row r="53" spans="1:6" x14ac:dyDescent="0.2">
      <c r="A53" s="3" t="s">
        <v>44</v>
      </c>
      <c r="B53" s="3" t="s">
        <v>9</v>
      </c>
      <c r="C53" s="3" t="s">
        <v>41</v>
      </c>
      <c r="D53" s="3" t="s">
        <v>2</v>
      </c>
      <c r="E53" s="3">
        <v>1</v>
      </c>
      <c r="F53" s="4">
        <v>200</v>
      </c>
    </row>
    <row r="54" spans="1:6" x14ac:dyDescent="0.2">
      <c r="A54" s="3" t="s">
        <v>44</v>
      </c>
      <c r="B54" s="3" t="s">
        <v>3</v>
      </c>
      <c r="C54" s="3" t="s">
        <v>42</v>
      </c>
      <c r="D54" s="3" t="s">
        <v>25</v>
      </c>
      <c r="E54" s="3">
        <v>1</v>
      </c>
      <c r="F54" s="4">
        <v>7115.38</v>
      </c>
    </row>
    <row r="55" spans="1:6" x14ac:dyDescent="0.2">
      <c r="A55" s="3" t="s">
        <v>44</v>
      </c>
      <c r="B55" s="3" t="s">
        <v>6</v>
      </c>
      <c r="C55" s="3" t="s">
        <v>7</v>
      </c>
      <c r="D55" s="3" t="s">
        <v>8</v>
      </c>
      <c r="E55" s="3">
        <v>28</v>
      </c>
      <c r="F55" s="4">
        <v>96</v>
      </c>
    </row>
    <row r="56" spans="1:6" s="9" customFormat="1" x14ac:dyDescent="0.2">
      <c r="A56" s="6" t="s">
        <v>45</v>
      </c>
      <c r="B56" s="6" t="s">
        <v>1</v>
      </c>
      <c r="C56" s="6"/>
      <c r="D56" s="6" t="s">
        <v>2</v>
      </c>
      <c r="E56" s="6">
        <v>10</v>
      </c>
      <c r="F56" s="8"/>
    </row>
    <row r="57" spans="1:6" x14ac:dyDescent="0.2">
      <c r="A57" s="3" t="s">
        <v>45</v>
      </c>
      <c r="B57" s="3" t="s">
        <v>23</v>
      </c>
      <c r="C57" s="3" t="s">
        <v>20</v>
      </c>
      <c r="D57" s="3" t="s">
        <v>21</v>
      </c>
      <c r="E57" s="3">
        <f>3.5*10</f>
        <v>35</v>
      </c>
      <c r="F57" s="4">
        <v>250</v>
      </c>
    </row>
    <row r="58" spans="1:6" x14ac:dyDescent="0.2">
      <c r="A58" s="3" t="s">
        <v>45</v>
      </c>
      <c r="B58" s="3" t="s">
        <v>23</v>
      </c>
      <c r="C58" s="3" t="s">
        <v>35</v>
      </c>
      <c r="D58" s="3" t="s">
        <v>36</v>
      </c>
      <c r="E58" s="3">
        <f>0.19*10</f>
        <v>1.9</v>
      </c>
      <c r="F58" s="4">
        <v>800</v>
      </c>
    </row>
    <row r="59" spans="1:6" x14ac:dyDescent="0.2">
      <c r="A59" s="3" t="s">
        <v>45</v>
      </c>
      <c r="B59" s="3" t="s">
        <v>23</v>
      </c>
      <c r="C59" s="3" t="s">
        <v>37</v>
      </c>
      <c r="D59" s="3" t="s">
        <v>36</v>
      </c>
      <c r="E59" s="3">
        <f>0.01*10</f>
        <v>0.1</v>
      </c>
      <c r="F59" s="4">
        <v>6400</v>
      </c>
    </row>
    <row r="60" spans="1:6" x14ac:dyDescent="0.2">
      <c r="A60" s="3" t="s">
        <v>45</v>
      </c>
      <c r="B60" s="3" t="s">
        <v>22</v>
      </c>
      <c r="C60" s="3" t="s">
        <v>38</v>
      </c>
      <c r="D60" s="3" t="s">
        <v>36</v>
      </c>
      <c r="E60" s="3">
        <v>1.6</v>
      </c>
      <c r="F60" s="4">
        <v>3800</v>
      </c>
    </row>
    <row r="61" spans="1:6" x14ac:dyDescent="0.2">
      <c r="A61" s="3" t="s">
        <v>45</v>
      </c>
      <c r="B61" s="3" t="s">
        <v>22</v>
      </c>
      <c r="C61" s="3" t="s">
        <v>46</v>
      </c>
      <c r="D61" s="3" t="s">
        <v>36</v>
      </c>
      <c r="E61" s="3">
        <v>1.6</v>
      </c>
      <c r="F61" s="4">
        <v>4000</v>
      </c>
    </row>
    <row r="62" spans="1:6" x14ac:dyDescent="0.2">
      <c r="A62" s="3" t="s">
        <v>45</v>
      </c>
      <c r="B62" s="3" t="s">
        <v>22</v>
      </c>
      <c r="C62" s="3" t="s">
        <v>39</v>
      </c>
      <c r="D62" s="3" t="s">
        <v>8</v>
      </c>
      <c r="E62" s="3">
        <v>2000</v>
      </c>
      <c r="F62" s="4">
        <v>0.2</v>
      </c>
    </row>
    <row r="63" spans="1:6" x14ac:dyDescent="0.2">
      <c r="A63" s="3" t="s">
        <v>47</v>
      </c>
      <c r="B63" s="3" t="s">
        <v>9</v>
      </c>
      <c r="C63" s="3" t="s">
        <v>40</v>
      </c>
      <c r="D63" s="3" t="s">
        <v>2</v>
      </c>
      <c r="E63" s="3">
        <v>1</v>
      </c>
      <c r="F63" s="4">
        <v>350</v>
      </c>
    </row>
    <row r="64" spans="1:6" x14ac:dyDescent="0.2">
      <c r="A64" s="3" t="s">
        <v>45</v>
      </c>
      <c r="B64" s="3" t="s">
        <v>9</v>
      </c>
      <c r="C64" s="3" t="s">
        <v>41</v>
      </c>
      <c r="D64" s="3" t="s">
        <v>2</v>
      </c>
      <c r="E64" s="3">
        <v>1</v>
      </c>
      <c r="F64" s="4">
        <v>200</v>
      </c>
    </row>
    <row r="65" spans="1:6" x14ac:dyDescent="0.2">
      <c r="A65" s="3" t="s">
        <v>45</v>
      </c>
      <c r="B65" s="3" t="s">
        <v>3</v>
      </c>
      <c r="C65" s="3" t="s">
        <v>42</v>
      </c>
      <c r="D65" s="3" t="s">
        <v>25</v>
      </c>
      <c r="E65" s="3">
        <v>1</v>
      </c>
      <c r="F65" s="4">
        <v>7115.38</v>
      </c>
    </row>
    <row r="66" spans="1:6" x14ac:dyDescent="0.2">
      <c r="A66" s="3" t="s">
        <v>45</v>
      </c>
      <c r="B66" s="3" t="s">
        <v>6</v>
      </c>
      <c r="C66" s="3" t="s">
        <v>7</v>
      </c>
      <c r="D66" s="3" t="s">
        <v>8</v>
      </c>
      <c r="E66" s="3">
        <v>42</v>
      </c>
      <c r="F66" s="4">
        <v>96</v>
      </c>
    </row>
    <row r="67" spans="1:6" s="9" customFormat="1" x14ac:dyDescent="0.2">
      <c r="A67" s="6" t="s">
        <v>48</v>
      </c>
      <c r="B67" s="6" t="s">
        <v>1</v>
      </c>
      <c r="C67" s="6"/>
      <c r="D67" s="6" t="s">
        <v>2</v>
      </c>
      <c r="E67" s="6">
        <v>10</v>
      </c>
      <c r="F67" s="8"/>
    </row>
    <row r="68" spans="1:6" x14ac:dyDescent="0.2">
      <c r="A68" s="3" t="s">
        <v>48</v>
      </c>
      <c r="B68" s="3" t="s">
        <v>23</v>
      </c>
      <c r="C68" s="3" t="s">
        <v>20</v>
      </c>
      <c r="D68" s="3" t="s">
        <v>21</v>
      </c>
      <c r="E68" s="3">
        <v>35</v>
      </c>
      <c r="F68" s="4">
        <v>250</v>
      </c>
    </row>
    <row r="69" spans="1:6" x14ac:dyDescent="0.2">
      <c r="A69" s="3" t="s">
        <v>48</v>
      </c>
      <c r="B69" s="3" t="s">
        <v>23</v>
      </c>
      <c r="C69" s="3" t="s">
        <v>35</v>
      </c>
      <c r="D69" s="3" t="s">
        <v>36</v>
      </c>
      <c r="E69" s="3">
        <v>1.9</v>
      </c>
      <c r="F69" s="4">
        <v>800</v>
      </c>
    </row>
    <row r="70" spans="1:6" x14ac:dyDescent="0.2">
      <c r="A70" s="3" t="s">
        <v>48</v>
      </c>
      <c r="B70" s="3" t="s">
        <v>23</v>
      </c>
      <c r="C70" s="3" t="s">
        <v>37</v>
      </c>
      <c r="D70" s="3" t="s">
        <v>36</v>
      </c>
      <c r="E70" s="3">
        <v>0.1</v>
      </c>
      <c r="F70" s="4">
        <v>6400</v>
      </c>
    </row>
    <row r="71" spans="1:6" x14ac:dyDescent="0.2">
      <c r="A71" s="3" t="s">
        <v>48</v>
      </c>
      <c r="B71" s="3" t="s">
        <v>22</v>
      </c>
      <c r="C71" s="3" t="s">
        <v>38</v>
      </c>
      <c r="D71" s="3" t="s">
        <v>36</v>
      </c>
      <c r="E71" s="3">
        <v>1.6</v>
      </c>
      <c r="F71" s="4">
        <v>3800</v>
      </c>
    </row>
    <row r="72" spans="1:6" x14ac:dyDescent="0.2">
      <c r="A72" s="3" t="s">
        <v>48</v>
      </c>
      <c r="B72" s="3" t="s">
        <v>22</v>
      </c>
      <c r="C72" s="3" t="s">
        <v>46</v>
      </c>
      <c r="D72" s="3" t="s">
        <v>36</v>
      </c>
      <c r="E72" s="3">
        <v>1.6</v>
      </c>
      <c r="F72" s="4">
        <v>4000</v>
      </c>
    </row>
    <row r="73" spans="1:6" x14ac:dyDescent="0.2">
      <c r="A73" s="3" t="s">
        <v>48</v>
      </c>
      <c r="B73" s="3" t="s">
        <v>22</v>
      </c>
      <c r="C73" s="3" t="s">
        <v>39</v>
      </c>
      <c r="D73" s="3" t="s">
        <v>8</v>
      </c>
      <c r="E73" s="3">
        <v>2000</v>
      </c>
      <c r="F73" s="4">
        <v>0.2</v>
      </c>
    </row>
    <row r="74" spans="1:6" x14ac:dyDescent="0.2">
      <c r="A74" s="3" t="s">
        <v>48</v>
      </c>
      <c r="B74" s="3" t="s">
        <v>9</v>
      </c>
      <c r="C74" s="3" t="s">
        <v>40</v>
      </c>
      <c r="D74" s="3" t="s">
        <v>2</v>
      </c>
      <c r="E74" s="3">
        <v>1</v>
      </c>
      <c r="F74" s="4">
        <v>350</v>
      </c>
    </row>
    <row r="75" spans="1:6" x14ac:dyDescent="0.2">
      <c r="A75" s="3" t="s">
        <v>48</v>
      </c>
      <c r="B75" s="3" t="s">
        <v>9</v>
      </c>
      <c r="C75" s="3" t="s">
        <v>41</v>
      </c>
      <c r="D75" s="3" t="s">
        <v>2</v>
      </c>
      <c r="E75" s="3">
        <v>1</v>
      </c>
      <c r="F75" s="4">
        <v>200</v>
      </c>
    </row>
    <row r="76" spans="1:6" x14ac:dyDescent="0.2">
      <c r="A76" s="3" t="s">
        <v>48</v>
      </c>
      <c r="B76" s="3" t="s">
        <v>3</v>
      </c>
      <c r="C76" s="3" t="s">
        <v>42</v>
      </c>
      <c r="D76" s="3" t="s">
        <v>25</v>
      </c>
      <c r="E76" s="3">
        <v>1</v>
      </c>
      <c r="F76" s="4">
        <v>7115.38</v>
      </c>
    </row>
    <row r="77" spans="1:6" x14ac:dyDescent="0.2">
      <c r="A77" s="3" t="s">
        <v>48</v>
      </c>
      <c r="B77" s="3" t="s">
        <v>6</v>
      </c>
      <c r="C77" s="3" t="s">
        <v>7</v>
      </c>
      <c r="D77" s="3" t="s">
        <v>8</v>
      </c>
      <c r="E77" s="3">
        <v>42</v>
      </c>
      <c r="F77" s="4">
        <v>96</v>
      </c>
    </row>
    <row r="78" spans="1:6" s="9" customFormat="1" x14ac:dyDescent="0.2">
      <c r="A78" s="6" t="s">
        <v>49</v>
      </c>
      <c r="B78" s="6" t="s">
        <v>1</v>
      </c>
      <c r="C78" s="6"/>
      <c r="D78" s="6" t="s">
        <v>2</v>
      </c>
      <c r="E78" s="6">
        <v>2.0299999999999998</v>
      </c>
      <c r="F78" s="8"/>
    </row>
    <row r="79" spans="1:6" x14ac:dyDescent="0.2">
      <c r="A79" s="3" t="s">
        <v>49</v>
      </c>
      <c r="B79" s="3" t="s">
        <v>23</v>
      </c>
      <c r="C79" s="3" t="s">
        <v>20</v>
      </c>
      <c r="D79" s="3" t="s">
        <v>21</v>
      </c>
      <c r="E79" s="3">
        <f>8.1*E78</f>
        <v>16.442999999999998</v>
      </c>
      <c r="F79" s="4">
        <v>250</v>
      </c>
    </row>
    <row r="80" spans="1:6" x14ac:dyDescent="0.2">
      <c r="A80" s="3" t="s">
        <v>49</v>
      </c>
      <c r="B80" s="3" t="s">
        <v>23</v>
      </c>
      <c r="C80" s="3" t="s">
        <v>35</v>
      </c>
      <c r="D80" s="3" t="s">
        <v>36</v>
      </c>
      <c r="E80" s="3">
        <f>0.39*E78</f>
        <v>0.79169999999999996</v>
      </c>
      <c r="F80" s="4">
        <v>800</v>
      </c>
    </row>
    <row r="81" spans="1:6" x14ac:dyDescent="0.2">
      <c r="A81" s="3" t="s">
        <v>49</v>
      </c>
      <c r="B81" s="3" t="s">
        <v>23</v>
      </c>
      <c r="C81" s="3" t="s">
        <v>37</v>
      </c>
      <c r="D81" s="3" t="s">
        <v>36</v>
      </c>
      <c r="E81" s="3">
        <f>0.02*E78</f>
        <v>4.0599999999999997E-2</v>
      </c>
      <c r="F81" s="4">
        <v>4200</v>
      </c>
    </row>
    <row r="82" spans="1:6" x14ac:dyDescent="0.2">
      <c r="A82" s="3" t="s">
        <v>49</v>
      </c>
      <c r="B82" s="3" t="s">
        <v>22</v>
      </c>
      <c r="C82" s="3" t="s">
        <v>38</v>
      </c>
      <c r="D82" s="3" t="s">
        <v>36</v>
      </c>
      <c r="E82" s="3">
        <f>0.31*E78</f>
        <v>0.62929999999999997</v>
      </c>
      <c r="F82" s="4">
        <v>3800</v>
      </c>
    </row>
    <row r="83" spans="1:6" x14ac:dyDescent="0.2">
      <c r="A83" s="3" t="s">
        <v>49</v>
      </c>
      <c r="B83" s="3" t="s">
        <v>22</v>
      </c>
      <c r="C83" s="3" t="s">
        <v>46</v>
      </c>
      <c r="D83" s="3" t="s">
        <v>36</v>
      </c>
      <c r="E83" s="3">
        <f>0.31*E78</f>
        <v>0.62929999999999997</v>
      </c>
      <c r="F83" s="4">
        <v>4000</v>
      </c>
    </row>
    <row r="84" spans="1:6" x14ac:dyDescent="0.2">
      <c r="A84" s="3" t="s">
        <v>49</v>
      </c>
      <c r="B84" s="3" t="s">
        <v>22</v>
      </c>
      <c r="C84" s="3" t="s">
        <v>39</v>
      </c>
      <c r="D84" s="3" t="s">
        <v>8</v>
      </c>
      <c r="E84" s="3">
        <f>200*E78</f>
        <v>405.99999999999994</v>
      </c>
      <c r="F84" s="4">
        <v>0.2</v>
      </c>
    </row>
    <row r="85" spans="1:6" x14ac:dyDescent="0.2">
      <c r="A85" s="3" t="s">
        <v>49</v>
      </c>
      <c r="B85" s="3" t="s">
        <v>9</v>
      </c>
      <c r="C85" s="3" t="s">
        <v>40</v>
      </c>
      <c r="D85" s="3" t="s">
        <v>2</v>
      </c>
      <c r="E85" s="3">
        <v>1</v>
      </c>
      <c r="F85" s="4">
        <v>1000</v>
      </c>
    </row>
    <row r="86" spans="1:6" x14ac:dyDescent="0.2">
      <c r="A86" s="3" t="s">
        <v>49</v>
      </c>
      <c r="B86" s="3" t="s">
        <v>9</v>
      </c>
      <c r="C86" s="3" t="s">
        <v>41</v>
      </c>
      <c r="D86" s="3" t="s">
        <v>2</v>
      </c>
      <c r="E86" s="3">
        <v>1</v>
      </c>
      <c r="F86" s="4">
        <v>300</v>
      </c>
    </row>
    <row r="87" spans="1:6" x14ac:dyDescent="0.2">
      <c r="A87" s="3" t="s">
        <v>49</v>
      </c>
      <c r="B87" s="3" t="s">
        <v>3</v>
      </c>
      <c r="C87" s="3" t="s">
        <v>42</v>
      </c>
      <c r="D87" s="3" t="s">
        <v>25</v>
      </c>
      <c r="E87" s="3">
        <v>1</v>
      </c>
      <c r="F87" s="4">
        <v>7115.38</v>
      </c>
    </row>
    <row r="88" spans="1:6" x14ac:dyDescent="0.2">
      <c r="A88" s="3" t="s">
        <v>49</v>
      </c>
      <c r="B88" s="3" t="s">
        <v>6</v>
      </c>
      <c r="C88" s="3" t="s">
        <v>7</v>
      </c>
      <c r="D88" s="3" t="s">
        <v>8</v>
      </c>
      <c r="E88" s="3">
        <v>42</v>
      </c>
      <c r="F88" s="4">
        <v>96</v>
      </c>
    </row>
    <row r="89" spans="1:6" s="9" customFormat="1" x14ac:dyDescent="0.2">
      <c r="A89" s="6" t="s">
        <v>50</v>
      </c>
      <c r="B89" s="6" t="s">
        <v>1</v>
      </c>
      <c r="C89" s="6"/>
      <c r="D89" s="6" t="s">
        <v>2</v>
      </c>
      <c r="E89" s="6">
        <v>10</v>
      </c>
      <c r="F89" s="8"/>
    </row>
    <row r="90" spans="1:6" x14ac:dyDescent="0.2">
      <c r="A90" s="3" t="s">
        <v>50</v>
      </c>
      <c r="B90" s="3" t="s">
        <v>23</v>
      </c>
      <c r="C90" s="3" t="s">
        <v>20</v>
      </c>
      <c r="D90" s="3" t="s">
        <v>21</v>
      </c>
      <c r="E90" s="3">
        <v>45</v>
      </c>
      <c r="F90" s="4">
        <v>250</v>
      </c>
    </row>
    <row r="91" spans="1:6" x14ac:dyDescent="0.2">
      <c r="A91" s="3" t="s">
        <v>50</v>
      </c>
      <c r="B91" s="3" t="s">
        <v>23</v>
      </c>
      <c r="C91" s="3" t="s">
        <v>35</v>
      </c>
      <c r="D91" s="3" t="s">
        <v>36</v>
      </c>
      <c r="E91" s="3">
        <v>1.9</v>
      </c>
      <c r="F91" s="4">
        <v>800</v>
      </c>
    </row>
    <row r="92" spans="1:6" x14ac:dyDescent="0.2">
      <c r="A92" s="3" t="s">
        <v>50</v>
      </c>
      <c r="B92" s="3" t="s">
        <v>23</v>
      </c>
      <c r="C92" s="3" t="s">
        <v>37</v>
      </c>
      <c r="D92" s="3" t="s">
        <v>36</v>
      </c>
      <c r="E92" s="3">
        <v>0.2</v>
      </c>
      <c r="F92" s="4">
        <v>4200</v>
      </c>
    </row>
    <row r="93" spans="1:6" x14ac:dyDescent="0.2">
      <c r="A93" s="3" t="s">
        <v>50</v>
      </c>
      <c r="B93" s="3" t="s">
        <v>22</v>
      </c>
      <c r="C93" s="3" t="s">
        <v>38</v>
      </c>
      <c r="D93" s="3" t="s">
        <v>36</v>
      </c>
      <c r="E93" s="3">
        <v>1.6</v>
      </c>
      <c r="F93" s="4">
        <v>3800</v>
      </c>
    </row>
    <row r="94" spans="1:6" x14ac:dyDescent="0.2">
      <c r="A94" s="3" t="s">
        <v>50</v>
      </c>
      <c r="B94" s="3" t="s">
        <v>22</v>
      </c>
      <c r="C94" s="3" t="s">
        <v>46</v>
      </c>
      <c r="D94" s="3" t="s">
        <v>36</v>
      </c>
      <c r="E94" s="3">
        <v>3.1</v>
      </c>
      <c r="F94" s="4">
        <v>4000</v>
      </c>
    </row>
    <row r="95" spans="1:6" x14ac:dyDescent="0.2">
      <c r="A95" s="3" t="s">
        <v>50</v>
      </c>
      <c r="B95" s="3" t="s">
        <v>22</v>
      </c>
      <c r="C95" s="3" t="s">
        <v>39</v>
      </c>
      <c r="D95" s="3" t="s">
        <v>8</v>
      </c>
      <c r="E95" s="3">
        <v>2000</v>
      </c>
      <c r="F95" s="4">
        <v>0.3</v>
      </c>
    </row>
    <row r="96" spans="1:6" x14ac:dyDescent="0.2">
      <c r="A96" s="3" t="s">
        <v>50</v>
      </c>
      <c r="B96" s="3" t="s">
        <v>9</v>
      </c>
      <c r="C96" s="3" t="s">
        <v>40</v>
      </c>
      <c r="D96" s="3" t="s">
        <v>2</v>
      </c>
      <c r="E96" s="3">
        <v>1</v>
      </c>
      <c r="F96" s="4">
        <v>350</v>
      </c>
    </row>
    <row r="97" spans="1:6" x14ac:dyDescent="0.2">
      <c r="A97" s="3" t="s">
        <v>50</v>
      </c>
      <c r="B97" s="3" t="s">
        <v>3</v>
      </c>
      <c r="C97" s="3" t="s">
        <v>42</v>
      </c>
      <c r="D97" s="3" t="s">
        <v>25</v>
      </c>
      <c r="E97" s="3">
        <v>1</v>
      </c>
      <c r="F97" s="4">
        <v>7115.38</v>
      </c>
    </row>
    <row r="98" spans="1:6" x14ac:dyDescent="0.2">
      <c r="A98" s="3" t="s">
        <v>50</v>
      </c>
      <c r="B98" s="3" t="s">
        <v>6</v>
      </c>
      <c r="C98" s="3" t="s">
        <v>7</v>
      </c>
      <c r="D98" s="3" t="s">
        <v>8</v>
      </c>
      <c r="E98" s="3">
        <v>35</v>
      </c>
      <c r="F98" s="4">
        <v>96</v>
      </c>
    </row>
    <row r="99" spans="1:6" s="9" customFormat="1" x14ac:dyDescent="0.2">
      <c r="A99" s="6" t="s">
        <v>51</v>
      </c>
      <c r="B99" s="6" t="s">
        <v>1</v>
      </c>
      <c r="C99" s="6"/>
      <c r="D99" s="6" t="s">
        <v>2</v>
      </c>
      <c r="E99" s="6">
        <v>10</v>
      </c>
      <c r="F99" s="8"/>
    </row>
    <row r="100" spans="1:6" x14ac:dyDescent="0.2">
      <c r="A100" s="3" t="s">
        <v>51</v>
      </c>
      <c r="B100" s="3" t="s">
        <v>23</v>
      </c>
      <c r="C100" s="3" t="s">
        <v>20</v>
      </c>
      <c r="D100" s="3" t="s">
        <v>21</v>
      </c>
      <c r="E100" s="3">
        <v>50</v>
      </c>
      <c r="F100" s="4">
        <v>250</v>
      </c>
    </row>
    <row r="101" spans="1:6" x14ac:dyDescent="0.2">
      <c r="A101" s="3" t="s">
        <v>51</v>
      </c>
      <c r="B101" s="3" t="s">
        <v>23</v>
      </c>
      <c r="C101" s="3" t="s">
        <v>35</v>
      </c>
      <c r="D101" s="3" t="s">
        <v>36</v>
      </c>
      <c r="E101" s="3">
        <v>1.9</v>
      </c>
      <c r="F101" s="4">
        <v>800</v>
      </c>
    </row>
    <row r="102" spans="1:6" x14ac:dyDescent="0.2">
      <c r="A102" s="3" t="s">
        <v>51</v>
      </c>
      <c r="B102" s="3" t="s">
        <v>23</v>
      </c>
      <c r="C102" s="3" t="s">
        <v>37</v>
      </c>
      <c r="D102" s="3" t="s">
        <v>36</v>
      </c>
      <c r="E102" s="3">
        <v>0.2</v>
      </c>
      <c r="F102" s="4">
        <v>4200</v>
      </c>
    </row>
    <row r="103" spans="1:6" x14ac:dyDescent="0.2">
      <c r="A103" s="3" t="s">
        <v>51</v>
      </c>
      <c r="B103" s="3" t="s">
        <v>22</v>
      </c>
      <c r="C103" s="3" t="s">
        <v>38</v>
      </c>
      <c r="D103" s="3" t="s">
        <v>36</v>
      </c>
      <c r="E103" s="3">
        <v>1.6</v>
      </c>
      <c r="F103" s="4">
        <v>3800</v>
      </c>
    </row>
    <row r="104" spans="1:6" x14ac:dyDescent="0.2">
      <c r="A104" s="3" t="s">
        <v>51</v>
      </c>
      <c r="B104" s="3" t="s">
        <v>22</v>
      </c>
      <c r="C104" s="3" t="s">
        <v>46</v>
      </c>
      <c r="D104" s="3" t="s">
        <v>36</v>
      </c>
      <c r="E104" s="3">
        <v>3.1</v>
      </c>
      <c r="F104" s="4">
        <v>4000</v>
      </c>
    </row>
    <row r="105" spans="1:6" x14ac:dyDescent="0.2">
      <c r="A105" s="3" t="s">
        <v>51</v>
      </c>
      <c r="B105" s="3" t="s">
        <v>22</v>
      </c>
      <c r="C105" s="3" t="s">
        <v>39</v>
      </c>
      <c r="D105" s="3" t="s">
        <v>8</v>
      </c>
      <c r="E105" s="3">
        <v>2000</v>
      </c>
      <c r="F105" s="4">
        <v>0.2</v>
      </c>
    </row>
    <row r="106" spans="1:6" x14ac:dyDescent="0.2">
      <c r="A106" s="3" t="s">
        <v>51</v>
      </c>
      <c r="B106" s="3" t="s">
        <v>9</v>
      </c>
      <c r="C106" s="3" t="s">
        <v>40</v>
      </c>
      <c r="D106" s="3" t="s">
        <v>2</v>
      </c>
      <c r="E106" s="3">
        <v>1</v>
      </c>
      <c r="F106" s="4">
        <v>350</v>
      </c>
    </row>
    <row r="107" spans="1:6" x14ac:dyDescent="0.2">
      <c r="A107" s="3" t="s">
        <v>51</v>
      </c>
      <c r="B107" s="3" t="s">
        <v>3</v>
      </c>
      <c r="C107" s="3" t="s">
        <v>42</v>
      </c>
      <c r="D107" s="3" t="s">
        <v>25</v>
      </c>
      <c r="E107" s="3">
        <v>1</v>
      </c>
      <c r="F107" s="4">
        <v>7115.38</v>
      </c>
    </row>
    <row r="108" spans="1:6" x14ac:dyDescent="0.2">
      <c r="A108" s="3" t="s">
        <v>51</v>
      </c>
      <c r="B108" s="3" t="s">
        <v>6</v>
      </c>
      <c r="C108" s="3" t="s">
        <v>7</v>
      </c>
      <c r="D108" s="3" t="s">
        <v>8</v>
      </c>
      <c r="E108" s="3">
        <v>35</v>
      </c>
      <c r="F108" s="4">
        <v>96</v>
      </c>
    </row>
    <row r="109" spans="1:6" s="9" customFormat="1" x14ac:dyDescent="0.2">
      <c r="A109" s="6" t="s">
        <v>52</v>
      </c>
      <c r="B109" s="6" t="s">
        <v>1</v>
      </c>
      <c r="C109" s="6"/>
      <c r="D109" s="6" t="s">
        <v>2</v>
      </c>
      <c r="E109" s="6">
        <v>10</v>
      </c>
      <c r="F109" s="8"/>
    </row>
    <row r="110" spans="1:6" x14ac:dyDescent="0.2">
      <c r="A110" s="3" t="s">
        <v>52</v>
      </c>
      <c r="B110" s="3" t="s">
        <v>23</v>
      </c>
      <c r="C110" s="3" t="s">
        <v>20</v>
      </c>
      <c r="D110" s="3" t="s">
        <v>21</v>
      </c>
      <c r="E110" s="3">
        <v>45</v>
      </c>
      <c r="F110" s="4">
        <v>250</v>
      </c>
    </row>
    <row r="111" spans="1:6" x14ac:dyDescent="0.2">
      <c r="A111" s="3" t="s">
        <v>52</v>
      </c>
      <c r="B111" s="3" t="s">
        <v>23</v>
      </c>
      <c r="C111" s="3" t="s">
        <v>35</v>
      </c>
      <c r="D111" s="3" t="s">
        <v>36</v>
      </c>
      <c r="E111" s="3">
        <v>1.9</v>
      </c>
      <c r="F111" s="4">
        <v>800</v>
      </c>
    </row>
    <row r="112" spans="1:6" x14ac:dyDescent="0.2">
      <c r="A112" s="3" t="s">
        <v>52</v>
      </c>
      <c r="B112" s="3" t="s">
        <v>23</v>
      </c>
      <c r="C112" s="3" t="s">
        <v>37</v>
      </c>
      <c r="D112" s="3" t="s">
        <v>36</v>
      </c>
      <c r="E112" s="3">
        <v>0.2</v>
      </c>
      <c r="F112" s="4">
        <v>4200</v>
      </c>
    </row>
    <row r="113" spans="1:6" x14ac:dyDescent="0.2">
      <c r="A113" s="3" t="s">
        <v>52</v>
      </c>
      <c r="B113" s="3" t="s">
        <v>22</v>
      </c>
      <c r="C113" s="3" t="s">
        <v>38</v>
      </c>
      <c r="D113" s="3" t="s">
        <v>36</v>
      </c>
      <c r="E113" s="3">
        <v>1.6</v>
      </c>
      <c r="F113" s="4">
        <v>3800</v>
      </c>
    </row>
    <row r="114" spans="1:6" x14ac:dyDescent="0.2">
      <c r="A114" s="3" t="s">
        <v>52</v>
      </c>
      <c r="B114" s="3" t="s">
        <v>22</v>
      </c>
      <c r="C114" s="3" t="s">
        <v>46</v>
      </c>
      <c r="D114" s="3" t="s">
        <v>36</v>
      </c>
      <c r="E114" s="3">
        <v>3.1</v>
      </c>
      <c r="F114" s="4">
        <v>4000</v>
      </c>
    </row>
    <row r="115" spans="1:6" x14ac:dyDescent="0.2">
      <c r="A115" s="3" t="s">
        <v>52</v>
      </c>
      <c r="B115" s="3" t="s">
        <v>22</v>
      </c>
      <c r="C115" s="3" t="s">
        <v>39</v>
      </c>
      <c r="D115" s="3" t="s">
        <v>8</v>
      </c>
      <c r="E115" s="3">
        <v>2000</v>
      </c>
      <c r="F115" s="4">
        <v>0.2</v>
      </c>
    </row>
    <row r="116" spans="1:6" x14ac:dyDescent="0.2">
      <c r="A116" s="3" t="s">
        <v>52</v>
      </c>
      <c r="B116" s="3" t="s">
        <v>9</v>
      </c>
      <c r="C116" s="3" t="s">
        <v>40</v>
      </c>
      <c r="D116" s="3" t="s">
        <v>2</v>
      </c>
      <c r="E116" s="3">
        <v>1</v>
      </c>
      <c r="F116" s="4">
        <v>350</v>
      </c>
    </row>
    <row r="117" spans="1:6" x14ac:dyDescent="0.2">
      <c r="A117" s="3" t="s">
        <v>52</v>
      </c>
      <c r="B117" s="3" t="s">
        <v>3</v>
      </c>
      <c r="C117" s="3" t="s">
        <v>42</v>
      </c>
      <c r="D117" s="3" t="s">
        <v>25</v>
      </c>
      <c r="E117" s="3">
        <v>1</v>
      </c>
      <c r="F117" s="4">
        <v>7115.38</v>
      </c>
    </row>
    <row r="118" spans="1:6" x14ac:dyDescent="0.2">
      <c r="A118" s="3" t="s">
        <v>52</v>
      </c>
      <c r="B118" s="3" t="s">
        <v>6</v>
      </c>
      <c r="C118" s="3" t="s">
        <v>7</v>
      </c>
      <c r="D118" s="3" t="s">
        <v>8</v>
      </c>
      <c r="E118" s="3">
        <v>35</v>
      </c>
      <c r="F118" s="4">
        <v>96</v>
      </c>
    </row>
    <row r="119" spans="1:6" s="9" customFormat="1" x14ac:dyDescent="0.2">
      <c r="A119" s="6" t="s">
        <v>53</v>
      </c>
      <c r="B119" s="6" t="s">
        <v>1</v>
      </c>
      <c r="C119" s="6"/>
      <c r="D119" s="6" t="s">
        <v>2</v>
      </c>
      <c r="E119" s="6">
        <v>10</v>
      </c>
      <c r="F119" s="8"/>
    </row>
    <row r="120" spans="1:6" x14ac:dyDescent="0.2">
      <c r="A120" s="3" t="s">
        <v>53</v>
      </c>
      <c r="B120" s="3" t="s">
        <v>23</v>
      </c>
      <c r="C120" s="3" t="s">
        <v>20</v>
      </c>
      <c r="D120" s="3" t="s">
        <v>21</v>
      </c>
      <c r="E120" s="3">
        <v>45</v>
      </c>
      <c r="F120" s="4">
        <v>250</v>
      </c>
    </row>
    <row r="121" spans="1:6" x14ac:dyDescent="0.2">
      <c r="A121" s="3" t="s">
        <v>53</v>
      </c>
      <c r="B121" s="3" t="s">
        <v>23</v>
      </c>
      <c r="C121" s="3" t="s">
        <v>35</v>
      </c>
      <c r="D121" s="3" t="s">
        <v>36</v>
      </c>
      <c r="E121" s="3">
        <v>1.9</v>
      </c>
      <c r="F121" s="4">
        <v>800</v>
      </c>
    </row>
    <row r="122" spans="1:6" x14ac:dyDescent="0.2">
      <c r="A122" s="3" t="s">
        <v>53</v>
      </c>
      <c r="B122" s="3" t="s">
        <v>23</v>
      </c>
      <c r="C122" s="3" t="s">
        <v>37</v>
      </c>
      <c r="D122" s="3" t="s">
        <v>36</v>
      </c>
      <c r="E122" s="3">
        <v>0.2</v>
      </c>
      <c r="F122" s="4">
        <v>4200</v>
      </c>
    </row>
    <row r="123" spans="1:6" x14ac:dyDescent="0.2">
      <c r="A123" s="3" t="s">
        <v>53</v>
      </c>
      <c r="B123" s="3" t="s">
        <v>22</v>
      </c>
      <c r="C123" s="3" t="s">
        <v>38</v>
      </c>
      <c r="D123" s="3" t="s">
        <v>36</v>
      </c>
      <c r="E123" s="3">
        <v>1.6</v>
      </c>
      <c r="F123" s="4">
        <v>3800</v>
      </c>
    </row>
    <row r="124" spans="1:6" x14ac:dyDescent="0.2">
      <c r="A124" s="3" t="s">
        <v>53</v>
      </c>
      <c r="B124" s="3" t="s">
        <v>22</v>
      </c>
      <c r="C124" s="3" t="s">
        <v>46</v>
      </c>
      <c r="D124" s="3" t="s">
        <v>36</v>
      </c>
      <c r="E124" s="3">
        <v>3.1</v>
      </c>
      <c r="F124" s="4">
        <v>4000</v>
      </c>
    </row>
    <row r="125" spans="1:6" x14ac:dyDescent="0.2">
      <c r="A125" s="3" t="s">
        <v>53</v>
      </c>
      <c r="B125" s="3" t="s">
        <v>22</v>
      </c>
      <c r="C125" s="3" t="s">
        <v>39</v>
      </c>
      <c r="D125" s="3" t="s">
        <v>8</v>
      </c>
      <c r="E125" s="3">
        <v>2000</v>
      </c>
      <c r="F125" s="4">
        <v>0.2</v>
      </c>
    </row>
    <row r="126" spans="1:6" x14ac:dyDescent="0.2">
      <c r="A126" s="3" t="s">
        <v>53</v>
      </c>
      <c r="B126" s="3" t="s">
        <v>9</v>
      </c>
      <c r="C126" s="3" t="s">
        <v>40</v>
      </c>
      <c r="D126" s="3" t="s">
        <v>2</v>
      </c>
      <c r="E126" s="3">
        <v>1</v>
      </c>
      <c r="F126" s="4">
        <v>350</v>
      </c>
    </row>
    <row r="127" spans="1:6" x14ac:dyDescent="0.2">
      <c r="A127" s="3" t="s">
        <v>53</v>
      </c>
      <c r="B127" s="3" t="s">
        <v>3</v>
      </c>
      <c r="C127" s="3" t="s">
        <v>42</v>
      </c>
      <c r="D127" s="3" t="s">
        <v>25</v>
      </c>
      <c r="E127" s="3">
        <v>1</v>
      </c>
      <c r="F127" s="4">
        <v>7115.38</v>
      </c>
    </row>
    <row r="128" spans="1:6" x14ac:dyDescent="0.2">
      <c r="A128" s="3" t="s">
        <v>53</v>
      </c>
      <c r="B128" s="3" t="s">
        <v>6</v>
      </c>
      <c r="C128" s="3" t="s">
        <v>7</v>
      </c>
      <c r="D128" s="3" t="s">
        <v>8</v>
      </c>
      <c r="E128" s="3">
        <v>35</v>
      </c>
      <c r="F128" s="4">
        <v>96</v>
      </c>
    </row>
    <row r="129" spans="1:6" s="9" customFormat="1" x14ac:dyDescent="0.2">
      <c r="A129" s="6" t="s">
        <v>54</v>
      </c>
      <c r="B129" s="6" t="s">
        <v>1</v>
      </c>
      <c r="C129" s="6"/>
      <c r="D129" s="6" t="s">
        <v>2</v>
      </c>
      <c r="E129" s="6">
        <v>10</v>
      </c>
      <c r="F129" s="8"/>
    </row>
    <row r="130" spans="1:6" x14ac:dyDescent="0.2">
      <c r="A130" s="3" t="s">
        <v>54</v>
      </c>
      <c r="B130" s="3" t="s">
        <v>23</v>
      </c>
      <c r="C130" s="3" t="s">
        <v>20</v>
      </c>
      <c r="D130" s="3" t="s">
        <v>21</v>
      </c>
      <c r="E130" s="3">
        <v>4.5</v>
      </c>
      <c r="F130" s="4">
        <v>250</v>
      </c>
    </row>
    <row r="131" spans="1:6" x14ac:dyDescent="0.2">
      <c r="A131" s="3" t="s">
        <v>54</v>
      </c>
      <c r="B131" s="3" t="s">
        <v>23</v>
      </c>
      <c r="C131" s="3" t="s">
        <v>35</v>
      </c>
      <c r="D131" s="3" t="s">
        <v>36</v>
      </c>
      <c r="E131" s="3">
        <v>1.9</v>
      </c>
      <c r="F131" s="4">
        <v>800</v>
      </c>
    </row>
    <row r="132" spans="1:6" x14ac:dyDescent="0.2">
      <c r="A132" s="3" t="s">
        <v>54</v>
      </c>
      <c r="B132" s="3" t="s">
        <v>23</v>
      </c>
      <c r="C132" s="3" t="s">
        <v>37</v>
      </c>
      <c r="D132" s="3" t="s">
        <v>36</v>
      </c>
      <c r="E132" s="3">
        <v>0.2</v>
      </c>
      <c r="F132" s="4">
        <v>4200</v>
      </c>
    </row>
    <row r="133" spans="1:6" x14ac:dyDescent="0.2">
      <c r="A133" s="3" t="s">
        <v>54</v>
      </c>
      <c r="B133" s="3" t="s">
        <v>22</v>
      </c>
      <c r="C133" s="3" t="s">
        <v>38</v>
      </c>
      <c r="D133" s="3" t="s">
        <v>36</v>
      </c>
      <c r="E133" s="3">
        <v>1.6</v>
      </c>
      <c r="F133" s="4">
        <v>3800</v>
      </c>
    </row>
    <row r="134" spans="1:6" x14ac:dyDescent="0.2">
      <c r="A134" s="3" t="s">
        <v>54</v>
      </c>
      <c r="B134" s="3" t="s">
        <v>22</v>
      </c>
      <c r="C134" s="3" t="s">
        <v>46</v>
      </c>
      <c r="D134" s="3" t="s">
        <v>36</v>
      </c>
      <c r="E134" s="3">
        <v>3.1</v>
      </c>
      <c r="F134" s="4">
        <v>4000</v>
      </c>
    </row>
    <row r="135" spans="1:6" x14ac:dyDescent="0.2">
      <c r="A135" s="3" t="s">
        <v>54</v>
      </c>
      <c r="B135" s="3" t="s">
        <v>22</v>
      </c>
      <c r="C135" s="3" t="s">
        <v>39</v>
      </c>
      <c r="D135" s="3" t="s">
        <v>8</v>
      </c>
      <c r="E135" s="3">
        <v>2000</v>
      </c>
      <c r="F135" s="4">
        <v>0.2</v>
      </c>
    </row>
    <row r="136" spans="1:6" x14ac:dyDescent="0.2">
      <c r="A136" s="3" t="s">
        <v>54</v>
      </c>
      <c r="B136" s="3" t="s">
        <v>9</v>
      </c>
      <c r="C136" s="3" t="s">
        <v>40</v>
      </c>
      <c r="D136" s="3" t="s">
        <v>2</v>
      </c>
      <c r="E136" s="3">
        <v>1</v>
      </c>
      <c r="F136" s="4">
        <v>350</v>
      </c>
    </row>
    <row r="137" spans="1:6" x14ac:dyDescent="0.2">
      <c r="A137" s="3" t="s">
        <v>54</v>
      </c>
      <c r="B137" s="3" t="s">
        <v>3</v>
      </c>
      <c r="C137" s="3" t="s">
        <v>42</v>
      </c>
      <c r="D137" s="3" t="s">
        <v>25</v>
      </c>
      <c r="E137" s="3">
        <v>1</v>
      </c>
      <c r="F137" s="4">
        <v>7115.38</v>
      </c>
    </row>
    <row r="138" spans="1:6" x14ac:dyDescent="0.2">
      <c r="A138" s="3" t="s">
        <v>54</v>
      </c>
      <c r="B138" s="3" t="s">
        <v>6</v>
      </c>
      <c r="C138" s="3" t="s">
        <v>7</v>
      </c>
      <c r="D138" s="3" t="s">
        <v>8</v>
      </c>
      <c r="E138" s="3">
        <v>35</v>
      </c>
      <c r="F138" s="4">
        <v>96</v>
      </c>
    </row>
    <row r="139" spans="1:6" s="9" customFormat="1" x14ac:dyDescent="0.2">
      <c r="A139" s="6" t="s">
        <v>55</v>
      </c>
      <c r="B139" s="6" t="s">
        <v>1</v>
      </c>
      <c r="C139" s="6"/>
      <c r="D139" s="6" t="s">
        <v>56</v>
      </c>
      <c r="E139" s="6">
        <v>1</v>
      </c>
      <c r="F139" s="8"/>
    </row>
    <row r="140" spans="1:6" x14ac:dyDescent="0.2">
      <c r="A140" s="3" t="s">
        <v>55</v>
      </c>
      <c r="B140" s="3" t="s">
        <v>23</v>
      </c>
      <c r="C140" s="3" t="s">
        <v>57</v>
      </c>
      <c r="D140" s="3" t="s">
        <v>58</v>
      </c>
      <c r="E140" s="3">
        <v>1.05</v>
      </c>
      <c r="F140" s="4">
        <v>50000</v>
      </c>
    </row>
    <row r="141" spans="1:6" x14ac:dyDescent="0.2">
      <c r="A141" s="3" t="s">
        <v>55</v>
      </c>
      <c r="B141" s="3" t="s">
        <v>23</v>
      </c>
      <c r="C141" s="3" t="s">
        <v>59</v>
      </c>
      <c r="D141" s="3" t="s">
        <v>60</v>
      </c>
      <c r="E141" s="3">
        <v>15</v>
      </c>
      <c r="F141" s="4">
        <v>74</v>
      </c>
    </row>
    <row r="142" spans="1:6" x14ac:dyDescent="0.2">
      <c r="A142" s="3" t="s">
        <v>55</v>
      </c>
      <c r="B142" s="3" t="s">
        <v>23</v>
      </c>
      <c r="C142" s="5" t="s">
        <v>61</v>
      </c>
      <c r="D142" s="3" t="s">
        <v>62</v>
      </c>
      <c r="E142" s="3">
        <v>1</v>
      </c>
      <c r="F142" s="4">
        <v>150</v>
      </c>
    </row>
    <row r="143" spans="1:6" x14ac:dyDescent="0.2">
      <c r="A143" s="3" t="s">
        <v>55</v>
      </c>
      <c r="B143" s="3" t="s">
        <v>9</v>
      </c>
      <c r="C143" s="3" t="s">
        <v>63</v>
      </c>
      <c r="D143" s="3" t="s">
        <v>64</v>
      </c>
      <c r="E143" s="3">
        <v>1</v>
      </c>
      <c r="F143" s="4">
        <v>1300</v>
      </c>
    </row>
    <row r="144" spans="1:6" x14ac:dyDescent="0.2">
      <c r="A144" s="3" t="s">
        <v>55</v>
      </c>
      <c r="B144" s="3" t="s">
        <v>9</v>
      </c>
      <c r="C144" s="3" t="s">
        <v>65</v>
      </c>
      <c r="D144" s="3" t="s">
        <v>64</v>
      </c>
      <c r="E144" s="3">
        <v>1</v>
      </c>
      <c r="F144" s="4">
        <v>50</v>
      </c>
    </row>
    <row r="145" spans="1:6" s="9" customFormat="1" x14ac:dyDescent="0.2">
      <c r="A145" s="6" t="s">
        <v>66</v>
      </c>
      <c r="B145" s="6" t="s">
        <v>1</v>
      </c>
      <c r="C145" s="6"/>
      <c r="D145" s="6" t="s">
        <v>2</v>
      </c>
      <c r="E145" s="6">
        <v>26.53</v>
      </c>
      <c r="F145" s="8"/>
    </row>
    <row r="146" spans="1:6" x14ac:dyDescent="0.2">
      <c r="A146" s="3" t="s">
        <v>66</v>
      </c>
      <c r="B146" s="3" t="s">
        <v>22</v>
      </c>
      <c r="C146" s="3" t="s">
        <v>67</v>
      </c>
      <c r="D146" s="3" t="s">
        <v>36</v>
      </c>
      <c r="E146" s="3">
        <v>0.18</v>
      </c>
      <c r="F146" s="4">
        <v>4200</v>
      </c>
    </row>
    <row r="147" spans="1:6" x14ac:dyDescent="0.2">
      <c r="A147" s="3" t="s">
        <v>66</v>
      </c>
      <c r="B147" s="3" t="s">
        <v>3</v>
      </c>
      <c r="C147" s="3" t="s">
        <v>26</v>
      </c>
      <c r="D147" s="3" t="s">
        <v>25</v>
      </c>
      <c r="E147" s="3">
        <v>1</v>
      </c>
      <c r="F147" s="4">
        <v>5384.62</v>
      </c>
    </row>
    <row r="148" spans="1:6" x14ac:dyDescent="0.2">
      <c r="A148" s="3" t="s">
        <v>66</v>
      </c>
      <c r="B148" s="3" t="s">
        <v>6</v>
      </c>
      <c r="C148" s="3" t="s">
        <v>7</v>
      </c>
      <c r="D148" s="3" t="s">
        <v>8</v>
      </c>
      <c r="E148" s="3">
        <v>20</v>
      </c>
      <c r="F148" s="4">
        <v>96</v>
      </c>
    </row>
    <row r="149" spans="1:6" x14ac:dyDescent="0.2">
      <c r="A149" s="3" t="s">
        <v>66</v>
      </c>
      <c r="B149" s="3" t="s">
        <v>9</v>
      </c>
      <c r="C149" s="3" t="s">
        <v>40</v>
      </c>
      <c r="D149" s="3" t="s">
        <v>2</v>
      </c>
      <c r="E149" s="3">
        <v>26.53</v>
      </c>
      <c r="F149" s="4">
        <v>200</v>
      </c>
    </row>
    <row r="150" spans="1:6" s="9" customFormat="1" x14ac:dyDescent="0.2">
      <c r="A150" s="6" t="s">
        <v>68</v>
      </c>
      <c r="B150" s="6" t="s">
        <v>1</v>
      </c>
      <c r="C150" s="6"/>
      <c r="D150" s="6" t="s">
        <v>2</v>
      </c>
      <c r="E150" s="6">
        <v>19.88</v>
      </c>
      <c r="F150" s="8"/>
    </row>
    <row r="151" spans="1:6" x14ac:dyDescent="0.2">
      <c r="A151" s="3" t="s">
        <v>68</v>
      </c>
      <c r="B151" s="3" t="s">
        <v>22</v>
      </c>
      <c r="C151" s="3" t="s">
        <v>69</v>
      </c>
      <c r="D151" s="3" t="s">
        <v>36</v>
      </c>
      <c r="E151" s="3">
        <v>0.35</v>
      </c>
      <c r="F151" s="4">
        <v>4000</v>
      </c>
    </row>
    <row r="152" spans="1:6" x14ac:dyDescent="0.2">
      <c r="A152" s="3" t="s">
        <v>68</v>
      </c>
      <c r="B152" s="3" t="s">
        <v>3</v>
      </c>
      <c r="C152" s="3" t="s">
        <v>26</v>
      </c>
      <c r="D152" s="3" t="s">
        <v>25</v>
      </c>
      <c r="E152" s="3">
        <v>0.5</v>
      </c>
      <c r="F152" s="4">
        <v>5384.62</v>
      </c>
    </row>
    <row r="153" spans="1:6" x14ac:dyDescent="0.2">
      <c r="A153" s="3" t="s">
        <v>68</v>
      </c>
      <c r="B153" s="3" t="s">
        <v>3</v>
      </c>
      <c r="C153" s="3" t="s">
        <v>70</v>
      </c>
      <c r="D153" s="3" t="s">
        <v>25</v>
      </c>
      <c r="E153" s="3">
        <v>1</v>
      </c>
      <c r="F153" s="4">
        <v>1923.08</v>
      </c>
    </row>
    <row r="154" spans="1:6" x14ac:dyDescent="0.2">
      <c r="A154" s="3" t="s">
        <v>68</v>
      </c>
      <c r="B154" s="3" t="s">
        <v>6</v>
      </c>
      <c r="C154" s="3" t="s">
        <v>7</v>
      </c>
      <c r="D154" s="3" t="s">
        <v>8</v>
      </c>
      <c r="E154" s="3">
        <v>43</v>
      </c>
      <c r="F154" s="4">
        <v>96</v>
      </c>
    </row>
    <row r="155" spans="1:6" x14ac:dyDescent="0.2">
      <c r="A155" s="3" t="s">
        <v>71</v>
      </c>
      <c r="B155" s="3" t="s">
        <v>9</v>
      </c>
      <c r="C155" s="3" t="s">
        <v>40</v>
      </c>
      <c r="D155" s="3" t="s">
        <v>2</v>
      </c>
      <c r="E155" s="3">
        <v>19.88</v>
      </c>
      <c r="F155" s="4">
        <v>200</v>
      </c>
    </row>
    <row r="156" spans="1:6" s="9" customFormat="1" x14ac:dyDescent="0.2">
      <c r="A156" s="6" t="s">
        <v>72</v>
      </c>
      <c r="B156" s="6" t="s">
        <v>1</v>
      </c>
      <c r="C156" s="6"/>
      <c r="D156" s="6" t="s">
        <v>73</v>
      </c>
      <c r="E156" s="6">
        <v>23</v>
      </c>
      <c r="F156" s="8"/>
    </row>
    <row r="157" spans="1:6" x14ac:dyDescent="0.2">
      <c r="A157" s="3" t="s">
        <v>72</v>
      </c>
      <c r="B157" s="3" t="s">
        <v>23</v>
      </c>
      <c r="C157" s="3" t="s">
        <v>74</v>
      </c>
      <c r="D157" s="3" t="s">
        <v>36</v>
      </c>
      <c r="E157" s="3">
        <v>8.1300000000000008</v>
      </c>
      <c r="F157" s="4">
        <v>2800</v>
      </c>
    </row>
    <row r="158" spans="1:6" x14ac:dyDescent="0.2">
      <c r="A158" s="3" t="s">
        <v>72</v>
      </c>
      <c r="B158" s="3" t="s">
        <v>3</v>
      </c>
      <c r="C158" s="3" t="s">
        <v>4</v>
      </c>
      <c r="D158" s="3" t="s">
        <v>5</v>
      </c>
      <c r="E158" s="3">
        <v>0.5</v>
      </c>
      <c r="F158" s="4">
        <v>3461.54</v>
      </c>
    </row>
    <row r="159" spans="1:6" x14ac:dyDescent="0.2">
      <c r="A159" s="3" t="s">
        <v>72</v>
      </c>
      <c r="B159" s="3" t="s">
        <v>6</v>
      </c>
      <c r="C159" s="3" t="s">
        <v>7</v>
      </c>
      <c r="D159" s="3" t="s">
        <v>8</v>
      </c>
      <c r="E159" s="3">
        <v>18</v>
      </c>
      <c r="F159" s="4">
        <v>96</v>
      </c>
    </row>
    <row r="160" spans="1:6" x14ac:dyDescent="0.2">
      <c r="A160" s="3" t="s">
        <v>72</v>
      </c>
      <c r="B160" s="3" t="s">
        <v>75</v>
      </c>
      <c r="C160" s="3" t="s">
        <v>11</v>
      </c>
      <c r="D160" s="3" t="s">
        <v>12</v>
      </c>
      <c r="E160" s="3">
        <v>2</v>
      </c>
      <c r="F160" s="4">
        <v>700</v>
      </c>
    </row>
    <row r="161" spans="1:6" s="9" customFormat="1" x14ac:dyDescent="0.2">
      <c r="A161" s="6" t="s">
        <v>76</v>
      </c>
      <c r="B161" s="6" t="s">
        <v>1</v>
      </c>
      <c r="C161" s="6"/>
      <c r="D161" s="6" t="s">
        <v>73</v>
      </c>
      <c r="E161" s="6">
        <v>148</v>
      </c>
      <c r="F161" s="8"/>
    </row>
    <row r="162" spans="1:6" x14ac:dyDescent="0.2">
      <c r="A162" s="3" t="s">
        <v>76</v>
      </c>
      <c r="B162" s="3" t="s">
        <v>23</v>
      </c>
      <c r="C162" s="3" t="s">
        <v>77</v>
      </c>
      <c r="D162" s="3" t="s">
        <v>36</v>
      </c>
      <c r="E162" s="3">
        <v>0.42</v>
      </c>
      <c r="F162" s="4">
        <v>3800</v>
      </c>
    </row>
    <row r="163" spans="1:6" x14ac:dyDescent="0.2">
      <c r="A163" s="3" t="s">
        <v>76</v>
      </c>
      <c r="B163" s="3" t="s">
        <v>3</v>
      </c>
      <c r="C163" s="3" t="s">
        <v>26</v>
      </c>
      <c r="D163" s="3" t="s">
        <v>25</v>
      </c>
      <c r="E163" s="3">
        <v>5</v>
      </c>
      <c r="F163" s="4">
        <v>5384.62</v>
      </c>
    </row>
    <row r="164" spans="1:6" x14ac:dyDescent="0.2">
      <c r="A164" s="3" t="s">
        <v>76</v>
      </c>
      <c r="B164" s="3" t="s">
        <v>6</v>
      </c>
      <c r="C164" s="3" t="s">
        <v>7</v>
      </c>
      <c r="D164" s="3" t="s">
        <v>8</v>
      </c>
      <c r="E164" s="3">
        <v>154</v>
      </c>
      <c r="F164" s="4">
        <v>96</v>
      </c>
    </row>
    <row r="165" spans="1:6" x14ac:dyDescent="0.2">
      <c r="A165" s="3" t="s">
        <v>76</v>
      </c>
      <c r="B165" s="3" t="s">
        <v>75</v>
      </c>
      <c r="C165" s="3" t="s">
        <v>11</v>
      </c>
      <c r="D165" s="3" t="s">
        <v>12</v>
      </c>
      <c r="E165" s="3">
        <v>2</v>
      </c>
      <c r="F165" s="4">
        <v>700</v>
      </c>
    </row>
    <row r="166" spans="1:6" s="9" customFormat="1" x14ac:dyDescent="0.2">
      <c r="A166" s="6" t="s">
        <v>78</v>
      </c>
      <c r="B166" s="6" t="s">
        <v>1</v>
      </c>
      <c r="C166" s="6"/>
      <c r="D166" s="6" t="s">
        <v>73</v>
      </c>
      <c r="E166" s="6">
        <v>148</v>
      </c>
      <c r="F166" s="8"/>
    </row>
    <row r="167" spans="1:6" x14ac:dyDescent="0.2">
      <c r="A167" s="3" t="s">
        <v>78</v>
      </c>
      <c r="B167" s="3" t="s">
        <v>23</v>
      </c>
      <c r="C167" s="3" t="s">
        <v>77</v>
      </c>
      <c r="D167" s="3" t="s">
        <v>36</v>
      </c>
      <c r="E167" s="3">
        <v>0.42</v>
      </c>
      <c r="F167" s="4">
        <v>3800</v>
      </c>
    </row>
    <row r="168" spans="1:6" x14ac:dyDescent="0.2">
      <c r="A168" s="3" t="s">
        <v>78</v>
      </c>
      <c r="B168" s="3" t="s">
        <v>3</v>
      </c>
      <c r="C168" s="3" t="s">
        <v>26</v>
      </c>
      <c r="D168" s="3" t="s">
        <v>25</v>
      </c>
      <c r="E168" s="3">
        <v>5</v>
      </c>
      <c r="F168" s="4">
        <v>5384.62</v>
      </c>
    </row>
    <row r="169" spans="1:6" x14ac:dyDescent="0.2">
      <c r="A169" s="3" t="s">
        <v>78</v>
      </c>
      <c r="B169" s="3" t="s">
        <v>6</v>
      </c>
      <c r="C169" s="3" t="s">
        <v>7</v>
      </c>
      <c r="D169" s="3" t="s">
        <v>8</v>
      </c>
      <c r="E169" s="3">
        <v>154</v>
      </c>
      <c r="F169" s="4">
        <v>96</v>
      </c>
    </row>
    <row r="170" spans="1:6" x14ac:dyDescent="0.2">
      <c r="A170" s="3" t="s">
        <v>78</v>
      </c>
      <c r="B170" s="3" t="s">
        <v>75</v>
      </c>
      <c r="C170" s="3" t="s">
        <v>11</v>
      </c>
      <c r="D170" s="3" t="s">
        <v>12</v>
      </c>
      <c r="E170" s="3">
        <v>2</v>
      </c>
      <c r="F170" s="4">
        <v>700</v>
      </c>
    </row>
    <row r="171" spans="1:6" s="9" customFormat="1" x14ac:dyDescent="0.2">
      <c r="A171" s="6" t="s">
        <v>79</v>
      </c>
      <c r="B171" s="6" t="s">
        <v>1</v>
      </c>
      <c r="C171" s="6"/>
      <c r="D171" s="6" t="s">
        <v>73</v>
      </c>
      <c r="E171" s="6">
        <v>148</v>
      </c>
      <c r="F171" s="8"/>
    </row>
    <row r="172" spans="1:6" x14ac:dyDescent="0.2">
      <c r="A172" s="3" t="s">
        <v>79</v>
      </c>
      <c r="B172" s="3" t="s">
        <v>23</v>
      </c>
      <c r="C172" s="3" t="s">
        <v>77</v>
      </c>
      <c r="D172" s="3" t="s">
        <v>36</v>
      </c>
      <c r="E172" s="3">
        <v>0.42</v>
      </c>
      <c r="F172" s="4">
        <v>3800</v>
      </c>
    </row>
    <row r="173" spans="1:6" x14ac:dyDescent="0.2">
      <c r="A173" s="3" t="s">
        <v>79</v>
      </c>
      <c r="B173" s="3" t="s">
        <v>3</v>
      </c>
      <c r="C173" s="3" t="s">
        <v>26</v>
      </c>
      <c r="D173" s="3" t="s">
        <v>25</v>
      </c>
      <c r="E173" s="3">
        <v>5</v>
      </c>
      <c r="F173" s="4">
        <v>5384.62</v>
      </c>
    </row>
    <row r="174" spans="1:6" x14ac:dyDescent="0.2">
      <c r="A174" s="3" t="s">
        <v>79</v>
      </c>
      <c r="B174" s="3" t="s">
        <v>6</v>
      </c>
      <c r="C174" s="3" t="s">
        <v>7</v>
      </c>
      <c r="D174" s="3" t="s">
        <v>8</v>
      </c>
      <c r="E174" s="3">
        <v>154</v>
      </c>
      <c r="F174" s="4">
        <v>96</v>
      </c>
    </row>
    <row r="175" spans="1:6" x14ac:dyDescent="0.2">
      <c r="A175" s="3" t="s">
        <v>79</v>
      </c>
      <c r="B175" s="3" t="s">
        <v>75</v>
      </c>
      <c r="C175" s="3" t="s">
        <v>11</v>
      </c>
      <c r="D175" s="3" t="s">
        <v>12</v>
      </c>
      <c r="E175" s="3">
        <v>2</v>
      </c>
      <c r="F175" s="4">
        <v>700</v>
      </c>
    </row>
    <row r="176" spans="1:6" s="9" customFormat="1" x14ac:dyDescent="0.2">
      <c r="A176" s="6" t="s">
        <v>80</v>
      </c>
      <c r="B176" s="6" t="s">
        <v>1</v>
      </c>
      <c r="C176" s="6"/>
      <c r="D176" s="6" t="s">
        <v>73</v>
      </c>
      <c r="E176" s="6">
        <v>666.67</v>
      </c>
      <c r="F176" s="8"/>
    </row>
    <row r="177" spans="1:6" x14ac:dyDescent="0.2">
      <c r="A177" s="3" t="s">
        <v>80</v>
      </c>
      <c r="B177" s="3" t="s">
        <v>3</v>
      </c>
      <c r="C177" s="3" t="s">
        <v>81</v>
      </c>
      <c r="D177" s="3" t="s">
        <v>25</v>
      </c>
      <c r="E177" s="3">
        <v>5</v>
      </c>
      <c r="F177" s="4">
        <v>10000</v>
      </c>
    </row>
    <row r="178" spans="1:6" x14ac:dyDescent="0.2">
      <c r="A178" s="3" t="s">
        <v>80</v>
      </c>
      <c r="B178" s="3" t="s">
        <v>3</v>
      </c>
      <c r="C178" s="3" t="s">
        <v>26</v>
      </c>
      <c r="D178" s="3" t="s">
        <v>25</v>
      </c>
      <c r="E178" s="3">
        <v>1.5</v>
      </c>
      <c r="F178" s="4">
        <v>5384.62</v>
      </c>
    </row>
    <row r="179" spans="1:6" x14ac:dyDescent="0.2">
      <c r="A179" s="3" t="s">
        <v>80</v>
      </c>
      <c r="B179" s="3" t="s">
        <v>6</v>
      </c>
      <c r="C179" s="3" t="s">
        <v>7</v>
      </c>
      <c r="D179" s="3" t="s">
        <v>8</v>
      </c>
      <c r="E179" s="3">
        <v>140</v>
      </c>
      <c r="F179" s="4">
        <v>96</v>
      </c>
    </row>
    <row r="180" spans="1:6" x14ac:dyDescent="0.2">
      <c r="A180" s="3" t="s">
        <v>80</v>
      </c>
      <c r="B180" s="3" t="s">
        <v>75</v>
      </c>
      <c r="C180" s="3" t="s">
        <v>11</v>
      </c>
      <c r="D180" s="3" t="s">
        <v>12</v>
      </c>
      <c r="E180" s="3">
        <v>4</v>
      </c>
      <c r="F180" s="4">
        <v>700</v>
      </c>
    </row>
    <row r="181" spans="1:6" s="9" customFormat="1" x14ac:dyDescent="0.2">
      <c r="A181" s="6" t="s">
        <v>82</v>
      </c>
      <c r="B181" s="6" t="s">
        <v>1</v>
      </c>
      <c r="C181" s="6"/>
      <c r="D181" s="6" t="s">
        <v>73</v>
      </c>
      <c r="E181" s="6">
        <v>666.67</v>
      </c>
      <c r="F181" s="8"/>
    </row>
    <row r="182" spans="1:6" x14ac:dyDescent="0.2">
      <c r="A182" s="3" t="s">
        <v>82</v>
      </c>
      <c r="B182" s="3" t="s">
        <v>3</v>
      </c>
      <c r="C182" s="3" t="s">
        <v>26</v>
      </c>
      <c r="D182" s="3" t="s">
        <v>25</v>
      </c>
      <c r="E182" s="3">
        <v>1.5</v>
      </c>
      <c r="F182" s="4">
        <v>5384.62</v>
      </c>
    </row>
    <row r="183" spans="1:6" x14ac:dyDescent="0.2">
      <c r="A183" s="3" t="s">
        <v>82</v>
      </c>
      <c r="B183" s="3" t="s">
        <v>6</v>
      </c>
      <c r="C183" s="3" t="s">
        <v>7</v>
      </c>
      <c r="D183" s="3" t="s">
        <v>8</v>
      </c>
      <c r="E183" s="3">
        <v>70</v>
      </c>
      <c r="F183" s="4">
        <v>96</v>
      </c>
    </row>
    <row r="184" spans="1:6" x14ac:dyDescent="0.2">
      <c r="A184" s="3" t="s">
        <v>82</v>
      </c>
      <c r="B184" s="3" t="s">
        <v>75</v>
      </c>
      <c r="C184" s="3" t="s">
        <v>11</v>
      </c>
      <c r="D184" s="3" t="s">
        <v>12</v>
      </c>
      <c r="E184" s="3">
        <v>2</v>
      </c>
      <c r="F184" s="4">
        <v>700</v>
      </c>
    </row>
    <row r="185" spans="1:6" s="9" customFormat="1" x14ac:dyDescent="0.2">
      <c r="A185" s="6" t="s">
        <v>83</v>
      </c>
      <c r="B185" s="6" t="s">
        <v>84</v>
      </c>
      <c r="C185" s="6"/>
      <c r="D185" s="6" t="s">
        <v>2</v>
      </c>
      <c r="E185" s="6">
        <v>111.53</v>
      </c>
      <c r="F185" s="8"/>
    </row>
    <row r="186" spans="1:6" x14ac:dyDescent="0.2">
      <c r="A186" s="3" t="s">
        <v>83</v>
      </c>
      <c r="B186" s="3" t="s">
        <v>23</v>
      </c>
      <c r="C186" s="3" t="s">
        <v>85</v>
      </c>
      <c r="D186" s="3" t="s">
        <v>12</v>
      </c>
      <c r="E186" s="3">
        <v>1</v>
      </c>
      <c r="F186" s="4">
        <v>1450</v>
      </c>
    </row>
    <row r="187" spans="1:6" x14ac:dyDescent="0.2">
      <c r="A187" s="3" t="s">
        <v>83</v>
      </c>
      <c r="B187" s="3" t="s">
        <v>23</v>
      </c>
      <c r="C187" s="3" t="s">
        <v>86</v>
      </c>
      <c r="D187" s="3" t="s">
        <v>36</v>
      </c>
      <c r="E187" s="3">
        <v>0.39</v>
      </c>
      <c r="F187" s="4">
        <v>3800</v>
      </c>
    </row>
    <row r="188" spans="1:6" x14ac:dyDescent="0.2">
      <c r="A188" s="3" t="s">
        <v>83</v>
      </c>
      <c r="B188" s="3" t="s">
        <v>3</v>
      </c>
      <c r="C188" s="3" t="s">
        <v>26</v>
      </c>
      <c r="D188" s="3" t="s">
        <v>25</v>
      </c>
      <c r="E188" s="3">
        <v>1</v>
      </c>
      <c r="F188" s="4">
        <v>5384.62</v>
      </c>
    </row>
    <row r="189" spans="1:6" x14ac:dyDescent="0.2">
      <c r="A189" s="3" t="s">
        <v>83</v>
      </c>
      <c r="B189" s="3" t="s">
        <v>6</v>
      </c>
      <c r="C189" s="3" t="s">
        <v>7</v>
      </c>
      <c r="D189" s="3" t="s">
        <v>8</v>
      </c>
      <c r="E189" s="3">
        <v>77</v>
      </c>
      <c r="F189" s="4">
        <v>96</v>
      </c>
    </row>
    <row r="190" spans="1:6" x14ac:dyDescent="0.2">
      <c r="A190" s="3" t="s">
        <v>83</v>
      </c>
      <c r="B190" s="3" t="s">
        <v>75</v>
      </c>
      <c r="C190" s="3" t="s">
        <v>87</v>
      </c>
      <c r="D190" s="3" t="s">
        <v>2</v>
      </c>
      <c r="E190" s="3">
        <v>1</v>
      </c>
      <c r="F190" s="4">
        <v>500</v>
      </c>
    </row>
    <row r="191" spans="1:6" s="9" customFormat="1" x14ac:dyDescent="0.2">
      <c r="A191" s="6" t="s">
        <v>88</v>
      </c>
      <c r="B191" s="6" t="s">
        <v>84</v>
      </c>
      <c r="C191" s="6"/>
      <c r="D191" s="6" t="s">
        <v>24</v>
      </c>
      <c r="E191" s="6">
        <v>1</v>
      </c>
      <c r="F191" s="8"/>
    </row>
    <row r="192" spans="1:6" x14ac:dyDescent="0.2">
      <c r="A192" s="3" t="s">
        <v>88</v>
      </c>
      <c r="B192" s="3" t="s">
        <v>23</v>
      </c>
      <c r="C192" s="3" t="s">
        <v>89</v>
      </c>
      <c r="D192" s="3" t="s">
        <v>24</v>
      </c>
      <c r="E192" s="3">
        <v>1</v>
      </c>
      <c r="F192" s="4">
        <v>64.56</v>
      </c>
    </row>
    <row r="193" spans="1:6" x14ac:dyDescent="0.2">
      <c r="A193" s="3" t="s">
        <v>88</v>
      </c>
      <c r="B193" s="3" t="s">
        <v>9</v>
      </c>
      <c r="C193" s="3" t="s">
        <v>87</v>
      </c>
      <c r="D193" s="3" t="s">
        <v>24</v>
      </c>
      <c r="E193" s="3">
        <v>1</v>
      </c>
      <c r="F193" s="4">
        <v>53.8</v>
      </c>
    </row>
    <row r="194" spans="1:6" s="9" customFormat="1" x14ac:dyDescent="0.2">
      <c r="A194" s="6" t="s">
        <v>90</v>
      </c>
      <c r="B194" s="6" t="s">
        <v>84</v>
      </c>
      <c r="C194" s="6"/>
      <c r="D194" s="6" t="s">
        <v>2</v>
      </c>
      <c r="E194" s="6">
        <v>165</v>
      </c>
      <c r="F194" s="8"/>
    </row>
    <row r="195" spans="1:6" x14ac:dyDescent="0.2">
      <c r="A195" s="3" t="s">
        <v>90</v>
      </c>
      <c r="B195" s="3" t="s">
        <v>3</v>
      </c>
      <c r="C195" s="3" t="s">
        <v>91</v>
      </c>
      <c r="D195" s="3" t="s">
        <v>25</v>
      </c>
      <c r="E195" s="3">
        <v>1</v>
      </c>
      <c r="F195" s="4">
        <v>5384.62</v>
      </c>
    </row>
    <row r="196" spans="1:6" x14ac:dyDescent="0.2">
      <c r="A196" s="3" t="s">
        <v>90</v>
      </c>
      <c r="B196" s="3" t="s">
        <v>6</v>
      </c>
      <c r="C196" s="3" t="s">
        <v>7</v>
      </c>
      <c r="D196" s="3" t="s">
        <v>8</v>
      </c>
      <c r="E196" s="3">
        <v>60</v>
      </c>
      <c r="F196" s="4">
        <v>96</v>
      </c>
    </row>
    <row r="197" spans="1:6" x14ac:dyDescent="0.2">
      <c r="A197" s="3" t="s">
        <v>90</v>
      </c>
      <c r="B197" s="3" t="s">
        <v>9</v>
      </c>
      <c r="C197" s="3" t="s">
        <v>11</v>
      </c>
      <c r="D197" s="3" t="s">
        <v>12</v>
      </c>
      <c r="E197" s="3">
        <v>1</v>
      </c>
      <c r="F197" s="4">
        <v>700</v>
      </c>
    </row>
    <row r="198" spans="1:6" s="9" customFormat="1" x14ac:dyDescent="0.2">
      <c r="A198" s="6" t="s">
        <v>92</v>
      </c>
      <c r="B198" s="6" t="s">
        <v>84</v>
      </c>
      <c r="C198" s="6"/>
      <c r="D198" s="6" t="s">
        <v>2</v>
      </c>
      <c r="E198" s="6">
        <v>1049.9100000000001</v>
      </c>
      <c r="F198" s="8"/>
    </row>
    <row r="199" spans="1:6" x14ac:dyDescent="0.2">
      <c r="A199" s="3" t="s">
        <v>92</v>
      </c>
      <c r="B199" s="3" t="s">
        <v>3</v>
      </c>
      <c r="C199" s="3" t="s">
        <v>91</v>
      </c>
      <c r="D199" s="3" t="s">
        <v>25</v>
      </c>
      <c r="E199" s="3">
        <v>3</v>
      </c>
      <c r="F199" s="4">
        <v>5384.62</v>
      </c>
    </row>
    <row r="200" spans="1:6" x14ac:dyDescent="0.2">
      <c r="A200" s="3" t="s">
        <v>92</v>
      </c>
      <c r="B200" s="3" t="s">
        <v>6</v>
      </c>
      <c r="C200" s="3" t="s">
        <v>7</v>
      </c>
      <c r="D200" s="3" t="s">
        <v>8</v>
      </c>
      <c r="E200" s="3">
        <v>306</v>
      </c>
      <c r="F200" s="4">
        <v>96</v>
      </c>
    </row>
    <row r="201" spans="1:6" x14ac:dyDescent="0.2">
      <c r="A201" s="3" t="s">
        <v>92</v>
      </c>
      <c r="B201" s="3" t="s">
        <v>9</v>
      </c>
      <c r="C201" s="3" t="s">
        <v>11</v>
      </c>
      <c r="D201" s="3" t="s">
        <v>12</v>
      </c>
      <c r="E201" s="3">
        <v>6</v>
      </c>
      <c r="F201" s="4">
        <v>700</v>
      </c>
    </row>
    <row r="202" spans="1:6" x14ac:dyDescent="0.2">
      <c r="A202" s="3" t="s">
        <v>92</v>
      </c>
      <c r="B202" s="3" t="s">
        <v>3</v>
      </c>
      <c r="C202" s="3" t="s">
        <v>93</v>
      </c>
      <c r="D202" s="3" t="s">
        <v>25</v>
      </c>
      <c r="E202" s="3">
        <v>3</v>
      </c>
      <c r="F202" s="4">
        <v>3461.54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Vishvanath A</dc:creator>
  <cp:lastModifiedBy>Techi</cp:lastModifiedBy>
  <dcterms:created xsi:type="dcterms:W3CDTF">2026-01-02T04:51:45Z</dcterms:created>
  <dcterms:modified xsi:type="dcterms:W3CDTF">2026-01-30T11:19:15Z</dcterms:modified>
</cp:coreProperties>
</file>